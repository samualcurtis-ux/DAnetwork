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urrent Design" sheetId="2" state="visible" r:id="rId4"/>
    <sheet name="Corrected Design" sheetId="3" state="visible" r:id="rId5"/>
    <sheet name="Optimized Design" sheetId="4" state="visible" r:id="rId6"/>
    <sheet name="Comparison" sheetId="5" state="visible" r:id="rId7"/>
    <sheet name="Reconciliation" sheetId="6" state="visible" r:id="rId8"/>
    <sheet name="Sensitivity" sheetId="7" state="visible" r:id="rId9"/>
    <sheet name="Issues Foun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<sst xmlns="http://schemas.openxmlformats.org/spreadsheetml/2006/main" count="486" uniqueCount="341">
  <si>
    <t xml:space="preserve">WeLink Arizona BEAD Model - Assumptions</t>
  </si>
  <si>
    <t xml:space="preserve">NETWORK DESIGN</t>
  </si>
  <si>
    <t xml:space="preserve">Total BSLs (BEAD Obligation)</t>
  </si>
  <si>
    <t xml:space="preserve">Source: AZ BEAD award, P4+P5 combined</t>
  </si>
  <si>
    <t xml:space="preserve">BSLs Served by Tarana G2 Direct</t>
  </si>
  <si>
    <t xml:space="preserve">From map clustering analysis</t>
  </si>
  <si>
    <t xml:space="preserve">BSLs Served by Ketsen Mesh</t>
  </si>
  <si>
    <t xml:space="preserve">Check: Total BSLs</t>
  </si>
  <si>
    <t xml:space="preserve">Must equal B4</t>
  </si>
  <si>
    <t xml:space="preserve">SITE COUNTS BY SCENARIO</t>
  </si>
  <si>
    <t xml:space="preserve">Current Design - Tower Sites</t>
  </si>
  <si>
    <t xml:space="preserve">Existing WeLink AZ footprint</t>
  </si>
  <si>
    <t xml:space="preserve">Current Design - Tarana Sectors</t>
  </si>
  <si>
    <t xml:space="preserve">2 sectors/site avg</t>
  </si>
  <si>
    <t xml:space="preserve">Current Design - Ketsen Sectors</t>
  </si>
  <si>
    <t xml:space="preserve">From original project plan Exec Summ</t>
  </si>
  <si>
    <t xml:space="preserve">Current Design - BSLs Covered</t>
  </si>
  <si>
    <t xml:space="preserve">84.5% of obligation</t>
  </si>
  <si>
    <t xml:space="preserve">Corrected Design - Total Sites</t>
  </si>
  <si>
    <t xml:space="preserve">Full coverage requires 101</t>
  </si>
  <si>
    <t xml:space="preserve">Corrected Design - Tarana G2 Sites</t>
  </si>
  <si>
    <t xml:space="preserve">Multi-sector Tarana access</t>
  </si>
  <si>
    <t xml:space="preserve">Corrected Design - Ketsen Mesh Sites</t>
  </si>
  <si>
    <t xml:space="preserve">Dense BSL cluster sites</t>
  </si>
  <si>
    <t xml:space="preserve">Corrected Design - Tarana G2 Access Sectors</t>
  </si>
  <si>
    <t xml:space="preserve">88 sites, avg ~1.16 sectors (multi-sector)</t>
  </si>
  <si>
    <t xml:space="preserve">Corrected Design - Tarana P2P BH Sectors</t>
  </si>
  <si>
    <t xml:space="preserve">1 BH sector per Ketsen site</t>
  </si>
  <si>
    <t xml:space="preserve">Corrected Design - Total Sectors</t>
  </si>
  <si>
    <t xml:space="preserve">102 access + 13 P2P BH</t>
  </si>
  <si>
    <t xml:space="preserve">Corrected Design - Ketsen Gateways</t>
  </si>
  <si>
    <t xml:space="preserve">1 per Ketsen cluster site</t>
  </si>
  <si>
    <t xml:space="preserve">Optimized Design - Colocation Sites</t>
  </si>
  <si>
    <t xml:space="preserve">DA + EarthLink towers</t>
  </si>
  <si>
    <t xml:space="preserve">Optimized Design - New Build Sites</t>
  </si>
  <si>
    <t xml:space="preserve">Short monopoles</t>
  </si>
  <si>
    <t xml:space="preserve">Optimized Design - Total Sites</t>
  </si>
  <si>
    <t xml:space="preserve">Optimized Design - Tarana G2 Sites</t>
  </si>
  <si>
    <t xml:space="preserve">Same arch as Corrected</t>
  </si>
  <si>
    <t xml:space="preserve">Optimized Design - Ketsen Mesh Sites</t>
  </si>
  <si>
    <t xml:space="preserve">Optimized Design - Total Sectors</t>
  </si>
  <si>
    <t xml:space="preserve">Same as Corrected</t>
  </si>
  <si>
    <t xml:space="preserve">Optimized Design - Ketsen Gateways</t>
  </si>
  <si>
    <t xml:space="preserve">BEAD AWARD</t>
  </si>
  <si>
    <t xml:space="preserve">BEAD Award - P4</t>
  </si>
  <si>
    <t xml:space="preserve">Source: AZ BEAD disbursement schedule</t>
  </si>
  <si>
    <t xml:space="preserve">BEAD Award - P5</t>
  </si>
  <si>
    <t xml:space="preserve">Total BEAD Funding</t>
  </si>
  <si>
    <t xml:space="preserve">Formula</t>
  </si>
  <si>
    <t xml:space="preserve">Retainage / Holdback (%)</t>
  </si>
  <si>
    <t xml:space="preserve">Assume 10% until final closeout</t>
  </si>
  <si>
    <t xml:space="preserve">Net BEAD Available at Draw</t>
  </si>
  <si>
    <t xml:space="preserve">Total less retainage</t>
  </si>
  <si>
    <t xml:space="preserve">BEAD DRAW TIMING</t>
  </si>
  <si>
    <t xml:space="preserve">Year 1 Draw (% of net)</t>
  </si>
  <si>
    <t xml:space="preserve">First 40% at milestones 5%+15%+20%</t>
  </si>
  <si>
    <t xml:space="preserve">Year 2 Draw (% of net)</t>
  </si>
  <si>
    <t xml:space="preserve">15%+15% milestones</t>
  </si>
  <si>
    <t xml:space="preserve">Year 3 Draw (% of net)</t>
  </si>
  <si>
    <t xml:space="preserve">15%+5% milestones</t>
  </si>
  <si>
    <t xml:space="preserve">Year 4 Draw (% of net)</t>
  </si>
  <si>
    <t xml:space="preserve">Final closeout + retainage release</t>
  </si>
  <si>
    <t xml:space="preserve">Construction Duration (months)</t>
  </si>
  <si>
    <t xml:space="preserve">~2.5 years from subgrant execution</t>
  </si>
  <si>
    <t xml:space="preserve">Permitting Lead Time (months)</t>
  </si>
  <si>
    <t xml:space="preserve">App, design, NEPA</t>
  </si>
  <si>
    <t xml:space="preserve">Contingency Months</t>
  </si>
  <si>
    <t xml:space="preserve">Weather, supply chain, utility delays</t>
  </si>
  <si>
    <t xml:space="preserve">SUBSCRIBER ECONOMICS</t>
  </si>
  <si>
    <t xml:space="preserve">Monthly ARPU</t>
  </si>
  <si>
    <t xml:space="preserve">$/month - verify against WeLink AZ pricing</t>
  </si>
  <si>
    <t xml:space="preserve">Annual ARPU</t>
  </si>
  <si>
    <t xml:space="preserve">Formula: Monthly * 12</t>
  </si>
  <si>
    <t xml:space="preserve">TAKE RATE SCHEDULE</t>
  </si>
  <si>
    <t xml:space="preserve">Tarana FWA</t>
  </si>
  <si>
    <t xml:space="preserve">Ketsen Mesh</t>
  </si>
  <si>
    <t xml:space="preserve">Notes</t>
  </si>
  <si>
    <t xml:space="preserve">Year 1 Take Rate</t>
  </si>
  <si>
    <t xml:space="preserve">Ketsen areas: lower density, likely slower adoption</t>
  </si>
  <si>
    <t xml:space="preserve">Year 2 Take Rate</t>
  </si>
  <si>
    <t xml:space="preserve">Year 3 Take Rate</t>
  </si>
  <si>
    <t xml:space="preserve">Year 4 Take Rate</t>
  </si>
  <si>
    <t xml:space="preserve">Year 5 Take Rate</t>
  </si>
  <si>
    <t xml:space="preserve">CPE CAPEX</t>
  </si>
  <si>
    <t xml:space="preserve">Tarana G2 RNv (CPE radio)</t>
  </si>
  <si>
    <t xml:space="preserve">Source: Site Level Inputs, 6GHz RNv</t>
  </si>
  <si>
    <t xml:space="preserve">BW Unlock per RN</t>
  </si>
  <si>
    <t xml:space="preserve">Source: RN cost sheet</t>
  </si>
  <si>
    <t xml:space="preserve">Installation Labor</t>
  </si>
  <si>
    <t xml:space="preserve">Total Tarana CPE CAPEX</t>
  </si>
  <si>
    <t xml:space="preserve">Ketsen CPE (mesh node)</t>
  </si>
  <si>
    <t xml:space="preserve">Estimate - Ketsen mesh CPE lower cost than Tarana RN</t>
  </si>
  <si>
    <t xml:space="preserve">Ketsen Installation Labor</t>
  </si>
  <si>
    <t xml:space="preserve">Simpler rooftop install</t>
  </si>
  <si>
    <t xml:space="preserve">Total Ketsen CPE CAPEX</t>
  </si>
  <si>
    <t xml:space="preserve">SECTOR &amp; SITE EQUIPMENT CAPEX</t>
  </si>
  <si>
    <t xml:space="preserve">Tarana G2 BN (per sector)</t>
  </si>
  <si>
    <t xml:space="preserve">Source: Site Level Inputs, G2 BN</t>
  </si>
  <si>
    <t xml:space="preserve">Per-Site Accessories (mount, cables, power)</t>
  </si>
  <si>
    <t xml:space="preserve">Source: Site Level Inputs, sum of per-site items</t>
  </si>
  <si>
    <t xml:space="preserve">Tarana P2P BH Radio (per sector)</t>
  </si>
  <si>
    <t xml:space="preserve">Source: Site Level Inputs, 6GHz BN for P2P link</t>
  </si>
  <si>
    <t xml:space="preserve">Ketsen Gateway (per cluster site)</t>
  </si>
  <si>
    <t xml:space="preserve">Source: Site Level Inputs, Ketsen line item</t>
  </si>
  <si>
    <t xml:space="preserve">TOWER INFRASTRUCTURE CAPEX</t>
  </si>
  <si>
    <t xml:space="preserve">New Tower Build (short monopole)</t>
  </si>
  <si>
    <t xml:space="preserve">Revised from $150K - short monopole for Tarana P2P</t>
  </si>
  <si>
    <t xml:space="preserve">Colocation Setup (one-time)</t>
  </si>
  <si>
    <t xml:space="preserve">$/site - structural, power, fiber prep</t>
  </si>
  <si>
    <t xml:space="preserve">Site Make-Ready / Power</t>
  </si>
  <si>
    <t xml:space="preserve">$/site - electrical, grounding, meter</t>
  </si>
  <si>
    <t xml:space="preserve">CAPEX Contingency (%)</t>
  </si>
  <si>
    <t xml:space="preserve">Permitting, weather, supply chain risk</t>
  </si>
  <si>
    <t xml:space="preserve">OPERATING EXPENSES (ANNUAL)</t>
  </si>
  <si>
    <t xml:space="preserve">Colocation Tower Lease ($/site/yr)</t>
  </si>
  <si>
    <t xml:space="preserve">Typical AZ coloc lease</t>
  </si>
  <si>
    <t xml:space="preserve">New Tower Lease / Land ($/site/yr)</t>
  </si>
  <si>
    <t xml:space="preserve">Ground lease for owned monopole</t>
  </si>
  <si>
    <t xml:space="preserve">Tower Power ($/site/yr)</t>
  </si>
  <si>
    <t xml:space="preserve">Avg $300/mo utility</t>
  </si>
  <si>
    <t xml:space="preserve">NOC / Network Ops (fixed annual)</t>
  </si>
  <si>
    <t xml:space="preserve">Staffing, monitoring, tools</t>
  </si>
  <si>
    <t xml:space="preserve">Transport / Backhaul Recurring ($/site/yr)</t>
  </si>
  <si>
    <t xml:space="preserve">Fiber or microwave transport per site</t>
  </si>
  <si>
    <t xml:space="preserve">Field Maintenance / Truck Rolls ($/yr)</t>
  </si>
  <si>
    <t xml:space="preserve">Technician labor + vehicle</t>
  </si>
  <si>
    <t xml:space="preserve">Customer Support / OSS-BSS ($/sub/yr)</t>
  </si>
  <si>
    <t xml:space="preserve">Billing, ticketing, CRM</t>
  </si>
  <si>
    <t xml:space="preserve">SMS Management ($/sub/yr)</t>
  </si>
  <si>
    <t xml:space="preserve">Tarana SMS license - Source: RN cost</t>
  </si>
  <si>
    <t xml:space="preserve">SAS / CBRS ($/sub/yr)</t>
  </si>
  <si>
    <t xml:space="preserve">Google SAS - Source: RN cost</t>
  </si>
  <si>
    <t xml:space="preserve">Insurance (annual)</t>
  </si>
  <si>
    <t xml:space="preserve">Commercial liability + E&amp;O</t>
  </si>
  <si>
    <t xml:space="preserve">Spares / Warranty Reserve (% of equip CAPEX)</t>
  </si>
  <si>
    <t xml:space="preserve">2% annual reserve</t>
  </si>
  <si>
    <t xml:space="preserve">Annual OPEX Escalator (%)</t>
  </si>
  <si>
    <t xml:space="preserve">Inflation on fixed costs</t>
  </si>
  <si>
    <t xml:space="preserve">KEY ROW INDEX (for formula reference)</t>
  </si>
  <si>
    <t xml:space="preserve">WeLink AZ BEAD - Current Design (40 Sites)</t>
  </si>
  <si>
    <t xml:space="preserve">DESIGN SUMMARY</t>
  </si>
  <si>
    <t xml:space="preserve">Tower Sites</t>
  </si>
  <si>
    <t xml:space="preserve">Tarana G2 Sectors</t>
  </si>
  <si>
    <t xml:space="preserve">Ketsen Sectors</t>
  </si>
  <si>
    <t xml:space="preserve">BSLs Assigned</t>
  </si>
  <si>
    <t xml:space="preserve">BSL Gap</t>
  </si>
  <si>
    <t xml:space="preserve">INFRASTRUCTURE CAPEX (Architecture-Driven)</t>
  </si>
  <si>
    <t xml:space="preserve">Sector Equipment (80 sectors)</t>
  </si>
  <si>
    <t xml:space="preserve">Tarana G2 sectors * $21K BN</t>
  </si>
  <si>
    <t xml:space="preserve">Per-Site Accessories</t>
  </si>
  <si>
    <t xml:space="preserve">40 sites * $1,446</t>
  </si>
  <si>
    <t xml:space="preserve">Ketsen Gateways (12)</t>
  </si>
  <si>
    <t xml:space="preserve">12 * $2,000</t>
  </si>
  <si>
    <t xml:space="preserve">Tower Infrastructure (assumed existing)</t>
  </si>
  <si>
    <t xml:space="preserve">Current sites already built</t>
  </si>
  <si>
    <t xml:space="preserve">Make-Ready / Power</t>
  </si>
  <si>
    <t xml:space="preserve">$10K/site</t>
  </si>
  <si>
    <t xml:space="preserve">Subtotal Pre-Contingency</t>
  </si>
  <si>
    <t xml:space="preserve">Contingency</t>
  </si>
  <si>
    <t xml:space="preserve">Total Infrastructure CAPEX</t>
  </si>
  <si>
    <t xml:space="preserve">5-YEAR P&amp;L PROJECTION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</si>
  <si>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</si>
  <si>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</si>
  <si>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</si>
  <si>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</si>
  <si>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</si>
  <si>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</si>
  <si>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Tarana Take Rate</t>
  </si>
  <si>
    <t xml:space="preserve">Ketsen Take Rate</t>
  </si>
  <si>
    <t xml:space="preserve">Tarana Subscribers</t>
  </si>
  <si>
    <t xml:space="preserve">Ketsen Subscribers</t>
  </si>
  <si>
    <t xml:space="preserve">Total Subscribers</t>
  </si>
  <si>
    <t xml:space="preserve">Revenue</t>
  </si>
  <si>
    <t xml:space="preserve">Tarana CPE CAPEX</t>
  </si>
  <si>
    <t xml:space="preserve">Ketsen CPE CAPEX</t>
  </si>
  <si>
    <t xml:space="preserve">Total CPE CAPEX</t>
  </si>
  <si>
    <t xml:space="preserve">Total CAPEX</t>
  </si>
  <si>
    <t xml:space="preserve">OPEX DETAIL</t>
  </si>
  <si>
    <t xml:space="preserve">Tower / Site Leases</t>
  </si>
  <si>
    <t xml:space="preserve">Tower Power</t>
  </si>
  <si>
    <t xml:space="preserve">NOC / Network Ops</t>
  </si>
  <si>
    <t xml:space="preserve">Transport / Backhaul</t>
  </si>
  <si>
    <t xml:space="preserve">Field Maintenance</t>
  </si>
  <si>
    <t xml:space="preserve">Customer Support / OSS-BSS</t>
  </si>
  <si>
    <t xml:space="preserve">SMS Management</t>
  </si>
  <si>
    <t xml:space="preserve">SAS / CBRS</t>
  </si>
  <si>
    <t xml:space="preserve">Insurance</t>
  </si>
  <si>
    <t xml:space="preserve">Spares / Warranty Reserve</t>
  </si>
  <si>
    <t xml:space="preserve">Total OPEX</t>
  </si>
  <si>
    <t xml:space="preserve">EBITDA</t>
  </si>
  <si>
    <t xml:space="preserve">EBITDA Margin</t>
  </si>
  <si>
    <t xml:space="preserve">BEAD FUNDING</t>
  </si>
  <si>
    <t xml:space="preserve">BEAD Draw (net of retainage)</t>
  </si>
  <si>
    <t xml:space="preserve">Free Cash Flow (EBITDA - CAPEX + BEAD)</t>
  </si>
  <si>
    <t xml:space="preserve">Cumulative FCF</t>
  </si>
  <si>
    <t xml:space="preserve">WeLink AZ BEAD - Corrected Design (101 Sites)</t>
  </si>
  <si>
    <t xml:space="preserve">Total Sites</t>
  </si>
  <si>
    <t xml:space="preserve">Tarana G2 Sites</t>
  </si>
  <si>
    <t xml:space="preserve">Ketsen Mesh Sites</t>
  </si>
  <si>
    <t xml:space="preserve">Tarana G2 Access Sectors</t>
  </si>
  <si>
    <t xml:space="preserve">Tarana P2P BH Sectors</t>
  </si>
  <si>
    <t xml:space="preserve">Total Sectors</t>
  </si>
  <si>
    <t xml:space="preserve">Ketsen Gateways</t>
  </si>
  <si>
    <t xml:space="preserve">BSLs Assigned (Tarana)</t>
  </si>
  <si>
    <t xml:space="preserve">BSLs Assigned (Ketsen)</t>
  </si>
  <si>
    <t xml:space="preserve">Total BSLs Assigned</t>
  </si>
  <si>
    <t xml:space="preserve">Tarana G2 BN Equipment (102 access sectors)</t>
  </si>
  <si>
    <t xml:space="preserve">102 access sectors * $21K</t>
  </si>
  <si>
    <t xml:space="preserve">Tarana P2P BH Radios (13 sectors)</t>
  </si>
  <si>
    <t xml:space="preserve">13 BH sectors * $11,634</t>
  </si>
  <si>
    <t xml:space="preserve">101 sites * $1,446</t>
  </si>
  <si>
    <t xml:space="preserve">13 * $2,000</t>
  </si>
  <si>
    <t xml:space="preserve">New Tower Build (101 sites)</t>
  </si>
  <si>
    <t xml:space="preserve">101 * $50K</t>
  </si>
  <si>
    <t xml:space="preserve">101 * $10K</t>
  </si>
  <si>
    <t xml:space="preserve">WeLink AZ BEAD - Optimized Design (24 Coloc + 77 New)</t>
  </si>
  <si>
    <t xml:space="preserve">Colocation Sites</t>
  </si>
  <si>
    <t xml:space="preserve">New Build Sites</t>
  </si>
  <si>
    <t xml:space="preserve">Colocation Setup</t>
  </si>
  <si>
    <t xml:space="preserve">24 * $25K</t>
  </si>
  <si>
    <t xml:space="preserve">New Tower Build</t>
  </si>
  <si>
    <t xml:space="preserve">77 * $50K</t>
  </si>
  <si>
    <t xml:space="preserve">WeLink AZ BEAD - Design Comparison</t>
  </si>
  <si>
    <t xml:space="preserve">Current</t>
  </si>
  <si>
    <t xml:space="preserve">Corrected</t>
  </si>
  <si>
    <t xml:space="preserve">Optimized</t>
  </si>
  <si>
    <t xml:space="preserve">ARCHITECTURE</t>
  </si>
  <si>
    <t xml:space="preserve">BSLs Covered</t>
  </si>
  <si>
    <t xml:space="preserve">BEAD Coverage %</t>
  </si>
  <si>
    <t xml:space="preserve">Ketsen Cluster Sites</t>
  </si>
  <si>
    <t xml:space="preserve">CAPEX</t>
  </si>
  <si>
    <t xml:space="preserve">Infrastructure CAPEX</t>
  </si>
  <si>
    <t xml:space="preserve">Year 1 Total CAPEX</t>
  </si>
  <si>
    <t xml:space="preserve">5-Year Total CAPEX</t>
  </si>
  <si>
    <t xml:space="preserve">FINANCIAL</t>
  </si>
  <si>
    <t xml:space="preserve">Year 5 Revenue</t>
  </si>
  <si>
    <t xml:space="preserve">Year 5 EBITDA</t>
  </si>
  <si>
    <t xml:space="preserve">Year 5 EBITDA Margin</t>
  </si>
  <si>
    <t xml:space="preserve">5-Year Cumulative FCF</t>
  </si>
  <si>
    <t xml:space="preserve">Year 5 Total Subscribers</t>
  </si>
  <si>
    <t xml:space="preserve">Model-to-Map Reconciliation</t>
  </si>
  <si>
    <t xml:space="preserve">Item</t>
  </si>
  <si>
    <t xml:space="preserve">Map Value</t>
  </si>
  <si>
    <t xml:space="preserve">Status</t>
  </si>
  <si>
    <t xml:space="preserve">Total BSLs (Obligation)</t>
  </si>
  <si>
    <t xml:space="preserve">11,346</t>
  </si>
  <si>
    <t xml:space="preserve">Match</t>
  </si>
  <si>
    <t xml:space="preserve">9,584 / 11,346 / 11,346</t>
  </si>
  <si>
    <t xml:space="preserve">Verify map KPIs</t>
  </si>
  <si>
    <t xml:space="preserve">Tower / Site Count</t>
  </si>
  <si>
    <t xml:space="preserve">40 / 101 / 101</t>
  </si>
  <si>
    <t xml:space="preserve">80 / 115 / 115</t>
  </si>
  <si>
    <t xml:space="preserve">0</t>
  </si>
  <si>
    <t xml:space="preserve">13</t>
  </si>
  <si>
    <t xml:space="preserve">12 / 13 / 13</t>
  </si>
  <si>
    <t xml:space="preserve">Current tab shows 12 in map</t>
  </si>
  <si>
    <t xml:space="preserve">80</t>
  </si>
  <si>
    <t xml:space="preserve">102</t>
  </si>
  <si>
    <t xml:space="preserve">Not shown</t>
  </si>
  <si>
    <t xml:space="preserve">Map shows total sectors only</t>
  </si>
  <si>
    <t xml:space="preserve">BSLs Served by Tarana</t>
  </si>
  <si>
    <t xml:space="preserve">9,584</t>
  </si>
  <si>
    <t xml:space="preserve">6,210</t>
  </si>
  <si>
    <t xml:space="preserve">Verify split matches map layers</t>
  </si>
  <si>
    <t xml:space="preserve">BSLs Served by Ketsen</t>
  </si>
  <si>
    <t xml:space="preserve">5,136</t>
  </si>
  <si>
    <t xml:space="preserve">Infra CAPEX</t>
  </si>
  <si>
    <t xml:space="preserve">Hardcoded in map</t>
  </si>
  <si>
    <t xml:space="preserve">Map must read from model</t>
  </si>
  <si>
    <t xml:space="preserve">24</t>
  </si>
  <si>
    <t xml:space="preserve">77</t>
  </si>
  <si>
    <t xml:space="preserve">Optimized only</t>
  </si>
  <si>
    <t xml:space="preserve">Scenario &amp; Sensitivity Analysis</t>
  </si>
  <si>
    <t xml:space="preserve">Based on Optimized Design (24 Coloc + 77 New Build)</t>
  </si>
  <si>
    <t xml:space="preserve">STEADY-STATE PENETRATION SENSITIVITY (Year 5)</t>
  </si>
  <si>
    <t xml:space="preserve">25%</t>
  </si>
  <si>
    <t xml:space="preserve">30%</t>
  </si>
  <si>
    <t xml:space="preserve">35%</t>
  </si>
  <si>
    <t xml:space="preserve">Penetration Rate</t>
  </si>
  <si>
    <t xml:space="preserve">Annual Revenue</t>
  </si>
  <si>
    <t xml:space="preserve">Annual OPEX (est from Opt Y5)</t>
  </si>
  <si>
    <t xml:space="preserve">Steady-State EBITDA</t>
  </si>
  <si>
    <t xml:space="preserve">Steady-State EBITDA Margin</t>
  </si>
  <si>
    <t xml:space="preserve">SCENARIO ANALYSIS</t>
  </si>
  <si>
    <t xml:space="preserve">Assumption</t>
  </si>
  <si>
    <t xml:space="preserve">Downside</t>
  </si>
  <si>
    <t xml:space="preserve">Base</t>
  </si>
  <si>
    <t xml:space="preserve">Upside</t>
  </si>
  <si>
    <t xml:space="preserve">Year 5 Tarana Take Rate</t>
  </si>
  <si>
    <t xml:space="preserve">Year 5 Ketsen Take Rate</t>
  </si>
  <si>
    <t xml:space="preserve">New Tower Build Cost</t>
  </si>
  <si>
    <t xml:space="preserve">Construction Overrun (%)</t>
  </si>
  <si>
    <t xml:space="preserve">BEAD Draw Delay (months)</t>
  </si>
  <si>
    <t xml:space="preserve">Annual OPEX Escalator</t>
  </si>
  <si>
    <t xml:space="preserve">NOTE: Scenario impacts are directional. Full scenario P&amp;L</t>
  </si>
  <si>
    <t xml:space="preserve">requires separate scenario tabs or a scenario toggle in Assumptions.</t>
  </si>
  <si>
    <t xml:space="preserve">The sensitivity table above shows steady-state economics.</t>
  </si>
  <si>
    <t xml:space="preserve">Audit Issues Found</t>
  </si>
  <si>
    <t xml:space="preserve">#</t>
  </si>
  <si>
    <t xml:space="preserve">Issue</t>
  </si>
  <si>
    <t xml:space="preserve">Why It Matters</t>
  </si>
  <si>
    <t xml:space="preserve">Fix Applied</t>
  </si>
  <si>
    <t xml:space="preserve">Comparison sheet references broken</t>
  </si>
  <si>
    <t xml:space="preserve">Row insertions for Ketsen data shifted cell refs. Corrected BSLs showed 13 instead of 11,346. Optimized CAPEX showed $600K (coloc only). All downstream Comparison values wrong.</t>
  </si>
  <si>
    <t xml:space="preserve">Rebuilt Comparison with correct cross-sheet refs to new row layout.</t>
  </si>
  <si>
    <t xml:space="preserve">Sector equipment CAPEX never used</t>
  </si>
  <si>
    <t xml:space="preserve">Assumptions had $50K/sector for Tarana G2 BN but no scenario formula used it. Infrastructure CAPEX was either hardcoded or only counted tower build costs. Understated CAPEX by $2-3M.</t>
  </si>
  <si>
    <t xml:space="preserve">Replaced with architecture-driven CAPEX: G2 BN at $21K/sector + $11,634/P2P BH sector + per-site accessories, all formula-linked.</t>
  </si>
  <si>
    <t xml:space="preserve">Corrected Design Infra CAPEX hardcoded</t>
  </si>
  <si>
    <t xml:space="preserve">$5,076,000 hardcoded with no formula decomposition. Cannot audit, cannot sensitivity-test, cannot tie to architecture.</t>
  </si>
  <si>
    <t xml:space="preserve">Replaced with formula: sectors*BN + P2P*BH + sites*accessories + gateways + tower build + make-ready + contingency.</t>
  </si>
  <si>
    <t xml:space="preserve">Current Design Infra CAPEX hardcoded</t>
  </si>
  <si>
    <t xml:space="preserve">$3,260,000 with no formula basis. Board/lender cannot verify.</t>
  </si>
  <si>
    <t xml:space="preserve">Replaced with formula-driven CAPEX built from sector count, per-site accessories, make-ready.</t>
  </si>
  <si>
    <t xml:space="preserve">OPEX was 10% of revenue</t>
  </si>
  <si>
    <t xml:space="preserve">Completely unrealistic. At 5% take rate in Y1, total OPEX would be ~$40K while tower leases alone are $720K+. Understated early-year OPEX by 10-20x, overstated EBITDA.</t>
  </si>
  <si>
    <t xml:space="preserve">Replaced with 10-line itemized OPEX: leases, power, NOC, transport, field maintenance, customer support, SMS, SAS, insurance, spares. Each linked to Assumptions.</t>
  </si>
  <si>
    <t xml:space="preserve">Tower leases wrong for Corrected Design</t>
  </si>
  <si>
    <t xml:space="preserve">All 101 sites used New Tower Lease ($24K/yr). Should differentiate coloc vs new build. Overstated Corrected lease expense.</t>
  </si>
  <si>
    <t xml:space="preserve">Corrected: all new build at $6K ground lease. Optimized: split 24 coloc at $18K + 77 new at $6K.</t>
  </si>
  <si>
    <t xml:space="preserve">No BEAD draw timing or retainage</t>
  </si>
  <si>
    <t xml:space="preserve">Model assumed full P4 in Y1, full P5 in Y2. Real BEAD has milestone-based draws and 10% retainage until closeout. Overstated early cash position.</t>
  </si>
  <si>
    <t xml:space="preserve">Added retainage assumption (10%), draw timing schedule (40/30/20/10%), retainage release in Y4.</t>
  </si>
  <si>
    <t xml:space="preserve">No contingency in CAPEX</t>
  </si>
  <si>
    <t xml:space="preserve">Zero contingency on a 101-site new build across Maricopa County. No buffer for permitting, weather, supply chain. Not defensible for board or state review.</t>
  </si>
  <si>
    <t xml:space="preserve">Added 10% contingency on pre-contingency infrastructure CAPEX.</t>
  </si>
  <si>
    <t xml:space="preserve">CPE cost not split by technology</t>
  </si>
  <si>
    <t xml:space="preserve">Uniform $705/sub CPE for all BSLs. Ketsen mesh CPE is likely cheaper than Tarana G2 RN.</t>
  </si>
  <si>
    <t xml:space="preserve">Split CPE: Tarana at $705 (RNv $455 + BW $100 + Install $150), Ketsen at $350 ($250 + $100).</t>
  </si>
  <si>
    <t xml:space="preserve">No technology-segmented take rates</t>
  </si>
  <si>
    <t xml:space="preserve">One take rate for all BSLs regardless of architecture. Dense Ketsen areas may have different adoption curves.</t>
  </si>
  <si>
    <t xml:space="preserve">Added separate Tarana and Ketsen take rate columns in Assumptions. Ketsen rates slightly lower to reflect density/competition dynamics.</t>
  </si>
  <si>
    <t xml:space="preserve">Map economics fully hardcoded</t>
  </si>
  <si>
    <t xml:space="preserve">All KPI badges, economics panels, and CAPEX bar charts are hardcoded HTML strings. Any model change requires manual map edit.</t>
  </si>
  <si>
    <t xml:space="preserve">Documented. Map should be updated to read from a JSON export or the model directly.</t>
  </si>
  <si>
    <t xml:space="preserve">Sector equipment assumption mislabeled</t>
  </si>
  <si>
    <t xml:space="preserve">Assumptions showed "Sector Equipment (Tarana G2 BN + BH)" at $50K. Actual G2 BN is $21K. $50K was never used anyway.</t>
  </si>
  <si>
    <t xml:space="preserve">Replaced with actual Tarana pricing: G2 BN $21K/sector, P2P BH $11,634/sector, per-site accessories $1,446.</t>
  </si>
  <si>
    <t xml:space="preserve">No OPEX escalator</t>
  </si>
  <si>
    <t xml:space="preserve">Fixed costs assumed flat for 5 years. Tower leases, power, labor all inflate.</t>
  </si>
  <si>
    <t xml:space="preserve">Added 3% annual escalator on fixed OPEX items.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</si>
</sst>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"/>
    <numFmt numFmtId="167" formatCode="0.0%"/>
    <numFmt numFmtId="168" formatCode="\$#,##0"/>
    <numFmt numFmtId="169" formatCode="\$#,##0;&quot;($&quot;#,##0\);\-"/>
    <numFmt numFmtId="170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6E4F0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E67E22"/>
      <rgbColor rgb="FFFF6600"/>
      <rgbColor rgb="FF666666"/>
      <rgbColor rgb="FF969696"/>
      <rgbColor rgb="FF003366"/>
      <rgbColor rgb="FF27AE6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D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40"/>
    <col collapsed="false" customWidth="true" hidden="false" outlineLevel="0" max="4" min="4" style="1" width="16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/>
      <c r="C3" s="4"/>
      <c r="D3" s="4"/>
    </row>
    <row r="4" customFormat="false" ht="15" hidden="false" customHeight="true" outlineLevel="0" collapsed="false">
      <c r="A4" s="5" t="s">
        <v>2</v>
      </c>
      <c r="B4" s="6" t="n">
        <v>11346</v>
      </c>
      <c r="C4" s="7" t="s">
        <v>3</v>
      </c>
    </row>
    <row r="5" customFormat="false" ht="15" hidden="false" customHeight="true" outlineLevel="0" collapsed="false">
      <c r="A5" s="5" t="s">
        <v>4</v>
      </c>
      <c r="B5" s="6" t="n">
        <v>6210</v>
      </c>
      <c r="C5" s="7" t="s">
        <v>5</v>
      </c>
    </row>
    <row r="6" customFormat="false" ht="15" hidden="false" customHeight="true" outlineLevel="0" collapsed="false">
      <c r="A6" s="5" t="s">
        <v>6</v>
      </c>
      <c r="B6" s="6" t="n">
        <v>5136</v>
      </c>
      <c r="C6" s="7" t="s">
        <v>5</v>
      </c>
    </row>
    <row r="7" customFormat="false" ht="15" hidden="false" customHeight="true" outlineLevel="0" collapsed="false">
      <c r="A7" s="5" t="s">
        <v>7</v>
      </c>
      <c r="B7" s="8" t="n">
        <f aca="false">B5+B6</f>
        <v>11346</v>
      </c>
      <c r="C7" s="7" t="s">
        <v>8</v>
      </c>
    </row>
    <row r="9" customFormat="false" ht="15" hidden="false" customHeight="true" outlineLevel="0" collapsed="false">
      <c r="A9" s="3" t="s">
        <v>9</v>
      </c>
      <c r="B9" s="4"/>
      <c r="C9" s="4"/>
      <c r="D9" s="4"/>
    </row>
    <row r="10" customFormat="false" ht="15" hidden="false" customHeight="true" outlineLevel="0" collapsed="false">
      <c r="A10" s="5" t="s">
        <v>10</v>
      </c>
      <c r="B10" s="6" t="n">
        <v>40</v>
      </c>
      <c r="C10" s="7" t="s">
        <v>11</v>
      </c>
    </row>
    <row r="11" customFormat="false" ht="15" hidden="false" customHeight="true" outlineLevel="0" collapsed="false">
      <c r="A11" s="5" t="s">
        <v>12</v>
      </c>
      <c r="B11" s="6" t="n">
        <v>80</v>
      </c>
      <c r="C11" s="7" t="s">
        <v>13</v>
      </c>
    </row>
    <row r="12" customFormat="false" ht="15" hidden="false" customHeight="true" outlineLevel="0" collapsed="false">
      <c r="A12" s="5" t="s">
        <v>14</v>
      </c>
      <c r="B12" s="6" t="n">
        <v>12</v>
      </c>
      <c r="C12" s="7" t="s">
        <v>15</v>
      </c>
    </row>
    <row r="13" customFormat="false" ht="15" hidden="false" customHeight="true" outlineLevel="0" collapsed="false">
      <c r="A13" s="5" t="s">
        <v>16</v>
      </c>
      <c r="B13" s="6" t="n">
        <v>9584</v>
      </c>
      <c r="C13" s="7" t="s">
        <v>17</v>
      </c>
    </row>
    <row r="15" customFormat="false" ht="15" hidden="false" customHeight="true" outlineLevel="0" collapsed="false">
      <c r="A15" s="5" t="s">
        <v>18</v>
      </c>
      <c r="B15" s="6" t="n">
        <v>101</v>
      </c>
      <c r="C15" s="7" t="s">
        <v>19</v>
      </c>
    </row>
    <row r="16" customFormat="false" ht="15" hidden="false" customHeight="true" outlineLevel="0" collapsed="false">
      <c r="A16" s="5" t="s">
        <v>20</v>
      </c>
      <c r="B16" s="6" t="n">
        <v>88</v>
      </c>
      <c r="C16" s="7" t="s">
        <v>21</v>
      </c>
    </row>
    <row r="17" customFormat="false" ht="15" hidden="false" customHeight="true" outlineLevel="0" collapsed="false">
      <c r="A17" s="5" t="s">
        <v>22</v>
      </c>
      <c r="B17" s="6" t="n">
        <v>13</v>
      </c>
      <c r="C17" s="7" t="s">
        <v>23</v>
      </c>
    </row>
    <row r="18" customFormat="false" ht="15" hidden="false" customHeight="true" outlineLevel="0" collapsed="false">
      <c r="A18" s="5" t="s">
        <v>24</v>
      </c>
      <c r="B18" s="6" t="n">
        <v>102</v>
      </c>
      <c r="C18" s="7" t="s">
        <v>25</v>
      </c>
    </row>
    <row r="19" customFormat="false" ht="15" hidden="false" customHeight="true" outlineLevel="0" collapsed="false">
      <c r="A19" s="5" t="s">
        <v>26</v>
      </c>
      <c r="B19" s="6" t="n">
        <v>13</v>
      </c>
      <c r="C19" s="7" t="s">
        <v>27</v>
      </c>
    </row>
    <row r="20" customFormat="false" ht="15" hidden="false" customHeight="true" outlineLevel="0" collapsed="false">
      <c r="A20" s="5" t="s">
        <v>28</v>
      </c>
      <c r="B20" s="6" t="n">
        <v>115</v>
      </c>
      <c r="C20" s="7" t="s">
        <v>29</v>
      </c>
    </row>
    <row r="21" customFormat="false" ht="15" hidden="false" customHeight="true" outlineLevel="0" collapsed="false">
      <c r="A21" s="5" t="s">
        <v>30</v>
      </c>
      <c r="B21" s="6" t="n">
        <v>13</v>
      </c>
      <c r="C21" s="7" t="s">
        <v>31</v>
      </c>
    </row>
    <row r="23" customFormat="false" ht="15" hidden="false" customHeight="true" outlineLevel="0" collapsed="false">
      <c r="A23" s="5" t="s">
        <v>32</v>
      </c>
      <c r="B23" s="6" t="n">
        <v>24</v>
      </c>
      <c r="C23" s="7" t="s">
        <v>33</v>
      </c>
    </row>
    <row r="24" customFormat="false" ht="15" hidden="false" customHeight="true" outlineLevel="0" collapsed="false">
      <c r="A24" s="5" t="s">
        <v>34</v>
      </c>
      <c r="B24" s="6" t="n">
        <v>77</v>
      </c>
      <c r="C24" s="7" t="s">
        <v>35</v>
      </c>
    </row>
    <row r="25" customFormat="false" ht="15" hidden="false" customHeight="true" outlineLevel="0" collapsed="false">
      <c r="A25" s="5" t="s">
        <v>36</v>
      </c>
      <c r="B25" s="6" t="n">
        <v>101</v>
      </c>
      <c r="C25" s="7" t="n">
        <f aca="false">24+77</f>
        <v>101</v>
      </c>
    </row>
    <row r="26" customFormat="false" ht="15" hidden="false" customHeight="true" outlineLevel="0" collapsed="false">
      <c r="A26" s="5" t="s">
        <v>37</v>
      </c>
      <c r="B26" s="6" t="n">
        <v>88</v>
      </c>
      <c r="C26" s="7" t="s">
        <v>38</v>
      </c>
    </row>
    <row r="27" customFormat="false" ht="15" hidden="false" customHeight="true" outlineLevel="0" collapsed="false">
      <c r="A27" s="5" t="s">
        <v>39</v>
      </c>
      <c r="B27" s="6" t="n">
        <v>13</v>
      </c>
      <c r="C27" s="7" t="s">
        <v>38</v>
      </c>
    </row>
    <row r="28" customFormat="false" ht="15" hidden="false" customHeight="true" outlineLevel="0" collapsed="false">
      <c r="A28" s="5" t="s">
        <v>40</v>
      </c>
      <c r="B28" s="6" t="n">
        <v>115</v>
      </c>
      <c r="C28" s="7" t="s">
        <v>41</v>
      </c>
    </row>
    <row r="29" customFormat="false" ht="15" hidden="false" customHeight="true" outlineLevel="0" collapsed="false">
      <c r="A29" s="5" t="s">
        <v>42</v>
      </c>
      <c r="B29" s="6" t="n">
        <v>13</v>
      </c>
      <c r="C29" s="7" t="s">
        <v>41</v>
      </c>
    </row>
    <row r="31" customFormat="false" ht="15" hidden="false" customHeight="true" outlineLevel="0" collapsed="false">
      <c r="A31" s="3" t="s">
        <v>43</v>
      </c>
      <c r="B31" s="4"/>
      <c r="C31" s="4"/>
      <c r="D31" s="4"/>
    </row>
    <row r="32" customFormat="false" ht="15" hidden="false" customHeight="true" outlineLevel="0" collapsed="false">
      <c r="A32" s="5" t="s">
        <v>44</v>
      </c>
      <c r="B32" s="9" t="n">
        <v>11039630</v>
      </c>
      <c r="C32" s="7" t="s">
        <v>45</v>
      </c>
    </row>
    <row r="33" customFormat="false" ht="15" hidden="false" customHeight="true" outlineLevel="0" collapsed="false">
      <c r="A33" s="5" t="s">
        <v>46</v>
      </c>
      <c r="B33" s="9" t="n">
        <v>5024352</v>
      </c>
      <c r="C33" s="7" t="s">
        <v>45</v>
      </c>
    </row>
    <row r="34" customFormat="false" ht="15" hidden="false" customHeight="true" outlineLevel="0" collapsed="false">
      <c r="A34" s="5" t="s">
        <v>47</v>
      </c>
      <c r="B34" s="10" t="n">
        <f aca="false">B32+B33</f>
        <v>16063982</v>
      </c>
      <c r="C34" s="7" t="s">
        <v>48</v>
      </c>
    </row>
    <row r="35" customFormat="false" ht="15" hidden="false" customHeight="true" outlineLevel="0" collapsed="false">
      <c r="A35" s="5" t="s">
        <v>49</v>
      </c>
      <c r="B35" s="11" t="n">
        <v>0.1</v>
      </c>
      <c r="C35" s="7" t="s">
        <v>50</v>
      </c>
    </row>
    <row r="36" customFormat="false" ht="15" hidden="false" customHeight="true" outlineLevel="0" collapsed="false">
      <c r="A36" s="5" t="s">
        <v>51</v>
      </c>
      <c r="B36" s="10" t="n">
        <f aca="false">B34*(1-B35)</f>
        <v>14457583.8</v>
      </c>
      <c r="C36" s="7" t="s">
        <v>52</v>
      </c>
    </row>
    <row r="38" customFormat="false" ht="15" hidden="false" customHeight="true" outlineLevel="0" collapsed="false">
      <c r="A38" s="3" t="s">
        <v>53</v>
      </c>
      <c r="B38" s="4"/>
      <c r="C38" s="4"/>
      <c r="D38" s="4"/>
    </row>
    <row r="39" customFormat="false" ht="15" hidden="false" customHeight="true" outlineLevel="0" collapsed="false">
      <c r="A39" s="5" t="s">
        <v>54</v>
      </c>
      <c r="B39" s="11" t="n">
        <v>0.4</v>
      </c>
      <c r="C39" s="7" t="s">
        <v>55</v>
      </c>
    </row>
    <row r="40" customFormat="false" ht="15" hidden="false" customHeight="true" outlineLevel="0" collapsed="false">
      <c r="A40" s="5" t="s">
        <v>56</v>
      </c>
      <c r="B40" s="11" t="n">
        <v>0.3</v>
      </c>
      <c r="C40" s="7" t="s">
        <v>57</v>
      </c>
    </row>
    <row r="41" customFormat="false" ht="15" hidden="false" customHeight="true" outlineLevel="0" collapsed="false">
      <c r="A41" s="5" t="s">
        <v>58</v>
      </c>
      <c r="B41" s="11" t="n">
        <v>0.2</v>
      </c>
      <c r="C41" s="7" t="s">
        <v>59</v>
      </c>
    </row>
    <row r="42" customFormat="false" ht="15" hidden="false" customHeight="true" outlineLevel="0" collapsed="false">
      <c r="A42" s="5" t="s">
        <v>60</v>
      </c>
      <c r="B42" s="11" t="n">
        <v>0.1</v>
      </c>
      <c r="C42" s="7" t="s">
        <v>61</v>
      </c>
    </row>
    <row r="43" customFormat="false" ht="15" hidden="false" customHeight="true" outlineLevel="0" collapsed="false">
      <c r="A43" s="5" t="s">
        <v>62</v>
      </c>
      <c r="B43" s="12" t="n">
        <v>30</v>
      </c>
      <c r="C43" s="7" t="s">
        <v>63</v>
      </c>
    </row>
    <row r="44" customFormat="false" ht="15" hidden="false" customHeight="true" outlineLevel="0" collapsed="false">
      <c r="A44" s="5" t="s">
        <v>64</v>
      </c>
      <c r="B44" s="12" t="n">
        <v>6</v>
      </c>
      <c r="C44" s="7" t="s">
        <v>65</v>
      </c>
    </row>
    <row r="45" customFormat="false" ht="15" hidden="false" customHeight="true" outlineLevel="0" collapsed="false">
      <c r="A45" s="5" t="s">
        <v>66</v>
      </c>
      <c r="B45" s="12" t="n">
        <v>3</v>
      </c>
      <c r="C45" s="7" t="s">
        <v>67</v>
      </c>
    </row>
    <row r="47" customFormat="false" ht="15" hidden="false" customHeight="true" outlineLevel="0" collapsed="false">
      <c r="A47" s="3" t="s">
        <v>68</v>
      </c>
      <c r="B47" s="4"/>
      <c r="C47" s="4"/>
      <c r="D47" s="4"/>
    </row>
    <row r="48" customFormat="false" ht="15" hidden="false" customHeight="true" outlineLevel="0" collapsed="false">
      <c r="A48" s="5" t="s">
        <v>69</v>
      </c>
      <c r="B48" s="9" t="n">
        <v>70</v>
      </c>
      <c r="C48" s="7" t="s">
        <v>70</v>
      </c>
    </row>
    <row r="49" customFormat="false" ht="15" hidden="false" customHeight="true" outlineLevel="0" collapsed="false">
      <c r="A49" s="5" t="s">
        <v>71</v>
      </c>
      <c r="B49" s="10" t="n">
        <f aca="false">B48*12</f>
        <v>840</v>
      </c>
      <c r="C49" s="7" t="s">
        <v>72</v>
      </c>
    </row>
    <row r="51" customFormat="false" ht="15" hidden="false" customHeight="true" outlineLevel="0" collapsed="false">
      <c r="A51" s="3" t="s">
        <v>73</v>
      </c>
      <c r="B51" s="4"/>
      <c r="C51" s="4"/>
      <c r="D51" s="4"/>
    </row>
    <row r="52" customFormat="false" ht="15" hidden="false" customHeight="true" outlineLevel="0" collapsed="false">
      <c r="A52" s="13"/>
      <c r="B52" s="13" t="s">
        <v>74</v>
      </c>
      <c r="C52" s="13" t="s">
        <v>75</v>
      </c>
      <c r="D52" s="13" t="s">
        <v>76</v>
      </c>
    </row>
    <row r="53" customFormat="false" ht="15" hidden="false" customHeight="true" outlineLevel="0" collapsed="false">
      <c r="A53" s="5" t="s">
        <v>77</v>
      </c>
      <c r="B53" s="11" t="n">
        <v>0.05</v>
      </c>
      <c r="C53" s="11" t="n">
        <v>0.04</v>
      </c>
      <c r="D53" s="7" t="s">
        <v>78</v>
      </c>
    </row>
    <row r="54" customFormat="false" ht="15" hidden="false" customHeight="true" outlineLevel="0" collapsed="false">
      <c r="A54" s="5" t="s">
        <v>79</v>
      </c>
      <c r="B54" s="11" t="n">
        <v>0.08</v>
      </c>
      <c r="C54" s="11" t="n">
        <v>0.07</v>
      </c>
    </row>
    <row r="55" customFormat="false" ht="15" hidden="false" customHeight="true" outlineLevel="0" collapsed="false">
      <c r="A55" s="5" t="s">
        <v>80</v>
      </c>
      <c r="B55" s="11" t="n">
        <v>0.12</v>
      </c>
      <c r="C55" s="11" t="n">
        <v>0.1</v>
      </c>
    </row>
    <row r="56" customFormat="false" ht="15" hidden="false" customHeight="true" outlineLevel="0" collapsed="false">
      <c r="A56" s="5" t="s">
        <v>81</v>
      </c>
      <c r="B56" s="11" t="n">
        <v>0.16</v>
      </c>
      <c r="C56" s="11" t="n">
        <v>0.14</v>
      </c>
    </row>
    <row r="57" customFormat="false" ht="15" hidden="false" customHeight="true" outlineLevel="0" collapsed="false">
      <c r="A57" s="5" t="s">
        <v>82</v>
      </c>
      <c r="B57" s="11" t="n">
        <v>0.2</v>
      </c>
      <c r="C57" s="11" t="n">
        <v>0.18</v>
      </c>
    </row>
    <row r="59" customFormat="false" ht="15" hidden="false" customHeight="true" outlineLevel="0" collapsed="false">
      <c r="A59" s="3" t="s">
        <v>83</v>
      </c>
      <c r="B59" s="4"/>
      <c r="C59" s="4"/>
      <c r="D59" s="4"/>
    </row>
    <row r="60" customFormat="false" ht="15" hidden="false" customHeight="true" outlineLevel="0" collapsed="false">
      <c r="A60" s="5" t="s">
        <v>84</v>
      </c>
      <c r="B60" s="14" t="n">
        <v>455</v>
      </c>
      <c r="C60" s="7" t="s">
        <v>85</v>
      </c>
    </row>
    <row r="61" customFormat="false" ht="15" hidden="false" customHeight="true" outlineLevel="0" collapsed="false">
      <c r="A61" s="5" t="s">
        <v>86</v>
      </c>
      <c r="B61" s="14" t="n">
        <v>100</v>
      </c>
      <c r="C61" s="7" t="s">
        <v>87</v>
      </c>
    </row>
    <row r="62" customFormat="false" ht="15" hidden="false" customHeight="true" outlineLevel="0" collapsed="false">
      <c r="A62" s="5" t="s">
        <v>88</v>
      </c>
      <c r="B62" s="14" t="n">
        <v>150</v>
      </c>
      <c r="C62" s="7" t="s">
        <v>87</v>
      </c>
    </row>
    <row r="63" customFormat="false" ht="15" hidden="false" customHeight="true" outlineLevel="0" collapsed="false">
      <c r="A63" s="5" t="s">
        <v>89</v>
      </c>
      <c r="B63" s="10" t="n">
        <f aca="false">B60+B61+B62</f>
        <v>705</v>
      </c>
      <c r="C63" s="7" t="s">
        <v>48</v>
      </c>
    </row>
    <row r="64" customFormat="false" ht="15" hidden="false" customHeight="true" outlineLevel="0" collapsed="false">
      <c r="A64" s="5" t="s">
        <v>90</v>
      </c>
      <c r="B64" s="14" t="n">
        <v>250</v>
      </c>
      <c r="C64" s="7" t="s">
        <v>91</v>
      </c>
    </row>
    <row r="65" customFormat="false" ht="15" hidden="false" customHeight="true" outlineLevel="0" collapsed="false">
      <c r="A65" s="5" t="s">
        <v>92</v>
      </c>
      <c r="B65" s="14" t="n">
        <v>100</v>
      </c>
      <c r="C65" s="7" t="s">
        <v>93</v>
      </c>
    </row>
    <row r="66" customFormat="false" ht="15" hidden="false" customHeight="true" outlineLevel="0" collapsed="false">
      <c r="A66" s="5" t="s">
        <v>94</v>
      </c>
      <c r="B66" s="10" t="n">
        <f aca="false">B64+B65</f>
        <v>350</v>
      </c>
      <c r="C66" s="7" t="s">
        <v>48</v>
      </c>
    </row>
    <row r="68" customFormat="false" ht="15" hidden="false" customHeight="true" outlineLevel="0" collapsed="false">
      <c r="A68" s="3" t="s">
        <v>95</v>
      </c>
      <c r="B68" s="4"/>
      <c r="C68" s="4"/>
      <c r="D68" s="4"/>
    </row>
    <row r="69" customFormat="false" ht="15" hidden="false" customHeight="true" outlineLevel="0" collapsed="false">
      <c r="A69" s="5" t="s">
        <v>96</v>
      </c>
      <c r="B69" s="9" t="n">
        <v>21000</v>
      </c>
      <c r="C69" s="7" t="s">
        <v>97</v>
      </c>
    </row>
    <row r="70" customFormat="false" ht="15" hidden="false" customHeight="true" outlineLevel="0" collapsed="false">
      <c r="A70" s="5" t="s">
        <v>98</v>
      </c>
      <c r="B70" s="9" t="n">
        <v>1446</v>
      </c>
      <c r="C70" s="7" t="s">
        <v>99</v>
      </c>
    </row>
    <row r="71" customFormat="false" ht="15" hidden="false" customHeight="true" outlineLevel="0" collapsed="false">
      <c r="A71" s="5" t="s">
        <v>100</v>
      </c>
      <c r="B71" s="9" t="n">
        <v>11634</v>
      </c>
      <c r="C71" s="7" t="s">
        <v>101</v>
      </c>
    </row>
    <row r="72" customFormat="false" ht="15" hidden="false" customHeight="true" outlineLevel="0" collapsed="false">
      <c r="A72" s="5" t="s">
        <v>102</v>
      </c>
      <c r="B72" s="9" t="n">
        <v>2000</v>
      </c>
      <c r="C72" s="7" t="s">
        <v>103</v>
      </c>
    </row>
    <row r="74" customFormat="false" ht="15" hidden="false" customHeight="true" outlineLevel="0" collapsed="false">
      <c r="A74" s="3" t="s">
        <v>104</v>
      </c>
      <c r="B74" s="4"/>
      <c r="C74" s="4"/>
      <c r="D74" s="4"/>
    </row>
    <row r="75" customFormat="false" ht="15" hidden="false" customHeight="true" outlineLevel="0" collapsed="false">
      <c r="A75" s="5" t="s">
        <v>105</v>
      </c>
      <c r="B75" s="14" t="n">
        <v>50000</v>
      </c>
      <c r="C75" s="7" t="s">
        <v>106</v>
      </c>
    </row>
    <row r="76" customFormat="false" ht="15" hidden="false" customHeight="true" outlineLevel="0" collapsed="false">
      <c r="A76" s="5" t="s">
        <v>107</v>
      </c>
      <c r="B76" s="14" t="n">
        <v>25000</v>
      </c>
      <c r="C76" s="7" t="s">
        <v>108</v>
      </c>
    </row>
    <row r="77" customFormat="false" ht="15" hidden="false" customHeight="true" outlineLevel="0" collapsed="false">
      <c r="A77" s="5" t="s">
        <v>109</v>
      </c>
      <c r="B77" s="14" t="n">
        <v>10000</v>
      </c>
      <c r="C77" s="7" t="s">
        <v>110</v>
      </c>
    </row>
    <row r="78" customFormat="false" ht="15" hidden="false" customHeight="true" outlineLevel="0" collapsed="false">
      <c r="A78" s="5" t="s">
        <v>111</v>
      </c>
      <c r="B78" s="11" t="n">
        <v>0.1</v>
      </c>
      <c r="C78" s="7" t="s">
        <v>112</v>
      </c>
    </row>
    <row r="80" customFormat="false" ht="15" hidden="false" customHeight="true" outlineLevel="0" collapsed="false">
      <c r="A80" s="3" t="s">
        <v>113</v>
      </c>
      <c r="B80" s="4"/>
      <c r="C80" s="4"/>
      <c r="D80" s="4"/>
    </row>
    <row r="81" customFormat="false" ht="15" hidden="false" customHeight="true" outlineLevel="0" collapsed="false">
      <c r="A81" s="5" t="s">
        <v>114</v>
      </c>
      <c r="B81" s="14" t="n">
        <v>18000</v>
      </c>
      <c r="C81" s="7" t="s">
        <v>115</v>
      </c>
    </row>
    <row r="82" customFormat="false" ht="15" hidden="false" customHeight="true" outlineLevel="0" collapsed="false">
      <c r="A82" s="5" t="s">
        <v>116</v>
      </c>
      <c r="B82" s="14" t="n">
        <v>6000</v>
      </c>
      <c r="C82" s="7" t="s">
        <v>117</v>
      </c>
    </row>
    <row r="83" customFormat="false" ht="15" hidden="false" customHeight="true" outlineLevel="0" collapsed="false">
      <c r="A83" s="5" t="s">
        <v>118</v>
      </c>
      <c r="B83" s="14" t="n">
        <v>3600</v>
      </c>
      <c r="C83" s="7" t="s">
        <v>119</v>
      </c>
    </row>
    <row r="84" customFormat="false" ht="15" hidden="false" customHeight="true" outlineLevel="0" collapsed="false">
      <c r="A84" s="5" t="s">
        <v>120</v>
      </c>
      <c r="B84" s="14" t="n">
        <v>180000</v>
      </c>
      <c r="C84" s="7" t="s">
        <v>121</v>
      </c>
    </row>
    <row r="85" customFormat="false" ht="15" hidden="false" customHeight="true" outlineLevel="0" collapsed="false">
      <c r="A85" s="5" t="s">
        <v>122</v>
      </c>
      <c r="B85" s="14" t="n">
        <v>1200</v>
      </c>
      <c r="C85" s="7" t="s">
        <v>123</v>
      </c>
    </row>
    <row r="86" customFormat="false" ht="15" hidden="false" customHeight="true" outlineLevel="0" collapsed="false">
      <c r="A86" s="5" t="s">
        <v>124</v>
      </c>
      <c r="B86" s="14" t="n">
        <v>120000</v>
      </c>
      <c r="C86" s="7" t="s">
        <v>125</v>
      </c>
    </row>
    <row r="87" customFormat="false" ht="15" hidden="false" customHeight="true" outlineLevel="0" collapsed="false">
      <c r="A87" s="5" t="s">
        <v>126</v>
      </c>
      <c r="B87" s="14" t="n">
        <v>36</v>
      </c>
      <c r="C87" s="7" t="s">
        <v>127</v>
      </c>
    </row>
    <row r="88" customFormat="false" ht="15" hidden="false" customHeight="true" outlineLevel="0" collapsed="false">
      <c r="A88" s="5" t="s">
        <v>128</v>
      </c>
      <c r="B88" s="14" t="n">
        <v>47</v>
      </c>
      <c r="C88" s="7" t="s">
        <v>129</v>
      </c>
    </row>
    <row r="89" customFormat="false" ht="15" hidden="false" customHeight="true" outlineLevel="0" collapsed="false">
      <c r="A89" s="5" t="s">
        <v>130</v>
      </c>
      <c r="B89" s="14" t="n">
        <v>12</v>
      </c>
      <c r="C89" s="7" t="s">
        <v>131</v>
      </c>
    </row>
    <row r="90" customFormat="false" ht="15" hidden="false" customHeight="true" outlineLevel="0" collapsed="false">
      <c r="A90" s="5" t="s">
        <v>132</v>
      </c>
      <c r="B90" s="14" t="n">
        <v>48000</v>
      </c>
      <c r="C90" s="7" t="s">
        <v>133</v>
      </c>
    </row>
    <row r="91" customFormat="false" ht="15" hidden="false" customHeight="true" outlineLevel="0" collapsed="false">
      <c r="A91" s="5" t="s">
        <v>134</v>
      </c>
      <c r="B91" s="11" t="n">
        <v>0.02</v>
      </c>
      <c r="C91" s="7" t="s">
        <v>135</v>
      </c>
    </row>
    <row r="92" customFormat="false" ht="15" hidden="false" customHeight="true" outlineLevel="0" collapsed="false">
      <c r="A92" s="5" t="s">
        <v>136</v>
      </c>
      <c r="B92" s="11" t="n">
        <v>0.03</v>
      </c>
      <c r="C92" s="7" t="s">
        <v>137</v>
      </c>
    </row>
    <row r="94" customFormat="false" ht="15" hidden="false" customHeight="true" outlineLevel="0" collapsed="false">
      <c r="A94" s="7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6"/>
  </cols>
  <sheetData>
    <row r="1" customFormat="false" ht="17.25" hidden="false" customHeight="true" outlineLevel="0" collapsed="false">
      <c r="A1" s="2" t="s">
        <v>139</v>
      </c>
    </row>
    <row r="3" customFormat="false" ht="15" hidden="false" customHeight="true" outlineLevel="0" collapsed="false">
      <c r="A3" s="3" t="s">
        <v>140</v>
      </c>
      <c r="B3" s="4"/>
      <c r="C3" s="4"/>
      <c r="D3" s="4"/>
      <c r="E3" s="4"/>
      <c r="F3" s="4"/>
      <c r="G3" s="4"/>
    </row>
    <row r="4" customFormat="false" ht="15" hidden="false" customHeight="true" outlineLevel="0" collapsed="false">
      <c r="A4" s="5" t="s">
        <v>141</v>
      </c>
      <c r="B4" s="6" t="n">
        <v>40</v>
      </c>
    </row>
    <row r="5" customFormat="false" ht="15" hidden="false" customHeight="true" outlineLevel="0" collapsed="false">
      <c r="A5" s="5" t="s">
        <v>142</v>
      </c>
      <c r="B5" s="6" t="n">
        <v>80</v>
      </c>
    </row>
    <row r="6" customFormat="false" ht="15" hidden="false" customHeight="true" outlineLevel="0" collapsed="false">
      <c r="A6" s="5" t="s">
        <v>143</v>
      </c>
      <c r="B6" s="6" t="n">
        <v>12</v>
      </c>
    </row>
    <row r="7" customFormat="false" ht="15" hidden="false" customHeight="true" outlineLevel="0" collapsed="false">
      <c r="A7" s="5" t="s">
        <v>144</v>
      </c>
      <c r="B7" s="6" t="n">
        <v>9584</v>
      </c>
    </row>
    <row r="8" customFormat="false" ht="15" hidden="false" customHeight="true" outlineLevel="0" collapsed="false">
      <c r="A8" s="5" t="s">
        <v>145</v>
      </c>
      <c r="B8" s="15" t="n">
        <f aca="false">Assumptions!B4-B7</f>
        <v>1762</v>
      </c>
    </row>
    <row r="10" customFormat="false" ht="15" hidden="false" customHeight="true" outlineLevel="0" collapsed="false">
      <c r="A10" s="3" t="s">
        <v>146</v>
      </c>
      <c r="B10" s="4"/>
      <c r="C10" s="4"/>
      <c r="D10" s="4"/>
      <c r="E10" s="4"/>
      <c r="F10" s="4"/>
      <c r="G10" s="4"/>
    </row>
    <row r="11" customFormat="false" ht="15" hidden="false" customHeight="true" outlineLevel="0" collapsed="false">
      <c r="A11" s="5" t="s">
        <v>147</v>
      </c>
      <c r="B11" s="16" t="n">
        <f aca="false">B5*Assumptions!B69</f>
        <v>1680000</v>
      </c>
      <c r="C11" s="7" t="s">
        <v>148</v>
      </c>
    </row>
    <row r="12" customFormat="false" ht="15" hidden="false" customHeight="true" outlineLevel="0" collapsed="false">
      <c r="A12" s="5" t="s">
        <v>149</v>
      </c>
      <c r="B12" s="17" t="n">
        <f aca="false">B4*Assumptions!B70</f>
        <v>57840</v>
      </c>
      <c r="C12" s="7" t="s">
        <v>150</v>
      </c>
    </row>
    <row r="13" customFormat="false" ht="15" hidden="false" customHeight="true" outlineLevel="0" collapsed="false">
      <c r="A13" s="5" t="s">
        <v>151</v>
      </c>
      <c r="B13" s="16" t="n">
        <f aca="false">B6*Assumptions!B72</f>
        <v>24000</v>
      </c>
      <c r="C13" s="7" t="s">
        <v>152</v>
      </c>
    </row>
    <row r="14" customFormat="false" ht="15" hidden="false" customHeight="true" outlineLevel="0" collapsed="false">
      <c r="A14" s="5" t="s">
        <v>153</v>
      </c>
      <c r="B14" s="9" t="n">
        <v>0</v>
      </c>
      <c r="C14" s="7" t="s">
        <v>154</v>
      </c>
    </row>
    <row r="15" customFormat="false" ht="15" hidden="false" customHeight="true" outlineLevel="0" collapsed="false">
      <c r="A15" s="5" t="s">
        <v>155</v>
      </c>
      <c r="B15" s="17" t="n">
        <f aca="false">B4*Assumptions!B77</f>
        <v>400000</v>
      </c>
      <c r="C15" s="7" t="s">
        <v>156</v>
      </c>
    </row>
    <row r="16" customFormat="false" ht="15" hidden="false" customHeight="true" outlineLevel="0" collapsed="false">
      <c r="A16" s="5" t="s">
        <v>157</v>
      </c>
      <c r="B16" s="10" t="n">
        <f aca="false">SUM(B11:B15)</f>
        <v>2161840</v>
      </c>
    </row>
    <row r="17" customFormat="false" ht="15" hidden="false" customHeight="true" outlineLevel="0" collapsed="false">
      <c r="A17" s="5" t="s">
        <v>158</v>
      </c>
      <c r="B17" s="17" t="n">
        <f aca="false">B16*Assumptions!B78</f>
        <v>216184</v>
      </c>
    </row>
    <row r="18" customFormat="false" ht="15" hidden="false" customHeight="true" outlineLevel="0" collapsed="false">
      <c r="A18" s="5" t="s">
        <v>159</v>
      </c>
      <c r="B18" s="10" t="n">
        <f aca="false">B16+B17</f>
        <v>2378024</v>
      </c>
    </row>
    <row r="20" customFormat="false" ht="15" hidden="false" customHeight="true" outlineLevel="0" collapsed="false">
      <c r="A20" s="3" t="s">
        <v>160</v>
      </c>
      <c r="B20" s="4"/>
      <c r="C20" s="4"/>
      <c r="D20" s="4"/>
      <c r="E20" s="4"/>
      <c r="F20" s="4"/>
      <c r="G20" s="4"/>
    </row>
    <row r="21" customFormat="false" ht="15" hidden="false" customHeight="true" outlineLevel="0" collapsed="false">
      <c r="A21" s="13" t="s">
        <v>161</v>
      </c>
      <c r="B21" s="18" t="s">
        <v>162</v>
      </c>
      <c r="C21" s="18" t="s">
        <v>163</v>
      </c>
      <c r="D21" s="18" t="s">
        <v>164</v>
      </c>
      <c r="E21" s="18" t="s">
        <v>165</v>
      </c>
      <c r="F21" s="18" t="s">
        <v>166</v>
      </c>
    </row>
    <row r="22" customFormat="false" ht="15" hidden="false" customHeight="true" outlineLevel="0" collapsed="false">
      <c r="A22" s="5" t="s">
        <v>167</v>
      </c>
      <c r="B22" s="19" t="n">
        <f aca="false">Assumptions!B53</f>
        <v>0.05</v>
      </c>
      <c r="C22" s="19" t="n">
        <f aca="false">Assumptions!B54</f>
        <v>0.08</v>
      </c>
      <c r="D22" s="19" t="n">
        <f aca="false">Assumptions!B55</f>
        <v>0.12</v>
      </c>
      <c r="E22" s="19" t="n">
        <f aca="false">Assumptions!B56</f>
        <v>0.16</v>
      </c>
      <c r="F22" s="19" t="n">
        <f aca="false">Assumptions!B57</f>
        <v>0.2</v>
      </c>
    </row>
    <row r="23" customFormat="false" ht="15" hidden="false" customHeight="true" outlineLevel="0" collapsed="false">
      <c r="A23" s="5" t="s">
        <v>168</v>
      </c>
      <c r="B23" s="19" t="n">
        <f aca="false">Assumptions!C53</f>
        <v>0.04</v>
      </c>
      <c r="C23" s="19" t="n">
        <f aca="false">Assumptions!C54</f>
        <v>0.07</v>
      </c>
      <c r="D23" s="19" t="n">
        <f aca="false">Assumptions!C55</f>
        <v>0.1</v>
      </c>
      <c r="E23" s="19" t="n">
        <f aca="false">Assumptions!C56</f>
        <v>0.14</v>
      </c>
      <c r="F23" s="19" t="n">
        <f aca="false">Assumptions!C57</f>
        <v>0.18</v>
      </c>
    </row>
    <row r="24" customFormat="false" ht="15" hidden="false" customHeight="true" outlineLevel="0" collapsed="false">
      <c r="A24" s="5" t="s">
        <v>169</v>
      </c>
      <c r="B24" s="8" t="n">
        <f aca="false">B7*B22</f>
        <v>479.2</v>
      </c>
      <c r="C24" s="8" t="n">
        <f aca="false">B7*C22</f>
        <v>766.72</v>
      </c>
      <c r="D24" s="8" t="n">
        <f aca="false">B7*D22</f>
        <v>1150.08</v>
      </c>
      <c r="E24" s="8" t="n">
        <f aca="false">B7*E22</f>
        <v>1533.44</v>
      </c>
      <c r="F24" s="8" t="n">
        <f aca="false">B7*F22</f>
        <v>1916.8</v>
      </c>
    </row>
    <row r="25" customFormat="false" ht="15" hidden="false" customHeight="true" outlineLevel="0" collapsed="false">
      <c r="A25" s="5" t="s">
        <v>170</v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</row>
    <row r="26" customFormat="false" ht="15" hidden="false" customHeight="true" outlineLevel="0" collapsed="false">
      <c r="A26" s="13" t="s">
        <v>171</v>
      </c>
      <c r="B26" s="8" t="n">
        <f aca="false">B24+B25</f>
        <v>479.2</v>
      </c>
      <c r="C26" s="8" t="n">
        <f aca="false">C24+C25</f>
        <v>766.72</v>
      </c>
      <c r="D26" s="8" t="n">
        <f aca="false">D24+D25</f>
        <v>1150.08</v>
      </c>
      <c r="E26" s="8" t="n">
        <f aca="false">E24+E25</f>
        <v>1533.44</v>
      </c>
      <c r="F26" s="8" t="n">
        <f aca="false">F24+F25</f>
        <v>1916.8</v>
      </c>
    </row>
    <row r="27" customFormat="false" ht="15" hidden="false" customHeight="true" outlineLevel="0" collapsed="false">
      <c r="A27" s="13" t="s">
        <v>172</v>
      </c>
      <c r="B27" s="10" t="n">
        <f aca="false">B26*Assumptions!B49</f>
        <v>402528</v>
      </c>
      <c r="C27" s="10" t="n">
        <f aca="false">C26*Assumptions!B49</f>
        <v>644044.8</v>
      </c>
      <c r="D27" s="10" t="n">
        <f aca="false">D26*Assumptions!B49</f>
        <v>966067.2</v>
      </c>
      <c r="E27" s="10" t="n">
        <f aca="false">E26*Assumptions!B49</f>
        <v>1288089.6</v>
      </c>
      <c r="F27" s="10" t="n">
        <f aca="false">F26*Assumptions!B49</f>
        <v>1610112</v>
      </c>
    </row>
    <row r="29" customFormat="false" ht="15" hidden="false" customHeight="true" outlineLevel="0" collapsed="false">
      <c r="A29" s="5" t="s">
        <v>173</v>
      </c>
      <c r="B29" s="10" t="n">
        <f aca="false">B24*Assumptions!B63</f>
        <v>337836</v>
      </c>
      <c r="C29" s="10" t="n">
        <f aca="false">(C24-B24)*Assumptions!B63</f>
        <v>202701.6</v>
      </c>
      <c r="D29" s="10" t="n">
        <f aca="false">(D24-C24)*Assumptions!B63</f>
        <v>270268.8</v>
      </c>
      <c r="E29" s="10" t="n">
        <f aca="false">(E24-D24)*Assumptions!B63</f>
        <v>270268.8</v>
      </c>
      <c r="F29" s="10" t="n">
        <f aca="false">(F24-E24)*Assumptions!B63</f>
        <v>270268.8</v>
      </c>
    </row>
    <row r="30" customFormat="false" ht="15" hidden="false" customHeight="true" outlineLevel="0" collapsed="false">
      <c r="A30" s="5" t="s">
        <v>174</v>
      </c>
      <c r="B30" s="10" t="n">
        <f aca="false">B25*Assumptions!B66</f>
        <v>0</v>
      </c>
      <c r="C30" s="10" t="n">
        <f aca="false">(C25-B25)*Assumptions!B66</f>
        <v>0</v>
      </c>
      <c r="D30" s="10" t="n">
        <f aca="false">(D25-C25)*Assumptions!B66</f>
        <v>0</v>
      </c>
      <c r="E30" s="10" t="n">
        <f aca="false">(E25-D25)*Assumptions!B66</f>
        <v>0</v>
      </c>
      <c r="F30" s="10" t="n">
        <f aca="false">(F25-E25)*Assumptions!B66</f>
        <v>0</v>
      </c>
    </row>
    <row r="31" customFormat="false" ht="15" hidden="false" customHeight="true" outlineLevel="0" collapsed="false">
      <c r="A31" s="5" t="s">
        <v>175</v>
      </c>
      <c r="B31" s="10" t="n">
        <f aca="false">B29+B30</f>
        <v>337836</v>
      </c>
      <c r="C31" s="10" t="n">
        <f aca="false">C29+C30</f>
        <v>202701.6</v>
      </c>
      <c r="D31" s="10" t="n">
        <f aca="false">D29+D30</f>
        <v>270268.8</v>
      </c>
      <c r="E31" s="10" t="n">
        <f aca="false">E29+E30</f>
        <v>270268.8</v>
      </c>
      <c r="F31" s="10" t="n">
        <f aca="false">F29+F30</f>
        <v>270268.8</v>
      </c>
    </row>
    <row r="32" customFormat="false" ht="15" hidden="false" customHeight="true" outlineLevel="0" collapsed="false">
      <c r="A32" s="13" t="s">
        <v>176</v>
      </c>
      <c r="B32" s="10" t="n">
        <f aca="false">B18+B31</f>
        <v>2715860</v>
      </c>
      <c r="C32" s="10" t="n">
        <f aca="false">C31</f>
        <v>202701.6</v>
      </c>
      <c r="D32" s="10" t="n">
        <f aca="false">D31</f>
        <v>270268.8</v>
      </c>
      <c r="E32" s="10" t="n">
        <f aca="false">E31</f>
        <v>270268.8</v>
      </c>
      <c r="F32" s="10" t="n">
        <f aca="false">F31</f>
        <v>270268.8</v>
      </c>
    </row>
    <row r="34" customFormat="false" ht="15" hidden="false" customHeight="true" outlineLevel="0" collapsed="false">
      <c r="A34" s="3" t="s">
        <v>177</v>
      </c>
      <c r="B34" s="4"/>
      <c r="C34" s="4"/>
      <c r="D34" s="4"/>
      <c r="E34" s="4"/>
      <c r="F34" s="4"/>
      <c r="G34" s="4"/>
    </row>
    <row r="35" customFormat="false" ht="15" hidden="false" customHeight="true" outlineLevel="0" collapsed="false">
      <c r="A35" s="5" t="s">
        <v>178</v>
      </c>
      <c r="B35" s="17" t="n">
        <f aca="false">B4*Assumptions!B81</f>
        <v>720000</v>
      </c>
      <c r="C35" s="17" t="n">
        <f aca="false">B4*Assumptions!B81*(1+Assumptions!B92)^1</f>
        <v>741600</v>
      </c>
      <c r="D35" s="17" t="n">
        <f aca="false">B4*Assumptions!B81*(1+Assumptions!B92)^2</f>
        <v>763848</v>
      </c>
      <c r="E35" s="17" t="n">
        <f aca="false">B4*Assumptions!B81*(1+Assumptions!B92)^3</f>
        <v>786763.44</v>
      </c>
      <c r="F35" s="17" t="n">
        <f aca="false">B4*Assumptions!B81*(1+Assumptions!B92)^4</f>
        <v>810366.3432</v>
      </c>
    </row>
    <row r="36" customFormat="false" ht="15" hidden="false" customHeight="true" outlineLevel="0" collapsed="false">
      <c r="A36" s="5" t="s">
        <v>179</v>
      </c>
      <c r="B36" s="17" t="n">
        <f aca="false">B4*Assumptions!B83</f>
        <v>144000</v>
      </c>
      <c r="C36" s="17" t="n">
        <f aca="false">B4*Assumptions!B83*(1+Assumptions!B92)^1</f>
        <v>148320</v>
      </c>
      <c r="D36" s="17" t="n">
        <f aca="false">B4*Assumptions!B83*(1+Assumptions!B92)^2</f>
        <v>152769.6</v>
      </c>
      <c r="E36" s="17" t="n">
        <f aca="false">B4*Assumptions!B83*(1+Assumptions!B92)^3</f>
        <v>157352.688</v>
      </c>
      <c r="F36" s="17" t="n">
        <f aca="false">B4*Assumptions!B83*(1+Assumptions!B92)^4</f>
        <v>162073.26864</v>
      </c>
    </row>
    <row r="37" customFormat="false" ht="15" hidden="false" customHeight="true" outlineLevel="0" collapsed="false">
      <c r="A37" s="5" t="s">
        <v>180</v>
      </c>
      <c r="B37" s="17" t="n">
        <f aca="false">Assumptions!B84</f>
        <v>180000</v>
      </c>
      <c r="C37" s="17" t="n">
        <f aca="false">Assumptions!B84*(1+Assumptions!B92)^1</f>
        <v>185400</v>
      </c>
      <c r="D37" s="17" t="n">
        <f aca="false">Assumptions!B84*(1+Assumptions!B92)^2</f>
        <v>190962</v>
      </c>
      <c r="E37" s="17" t="n">
        <f aca="false">Assumptions!B84*(1+Assumptions!B92)^3</f>
        <v>196690.86</v>
      </c>
      <c r="F37" s="17" t="n">
        <f aca="false">Assumptions!B84*(1+Assumptions!B92)^4</f>
        <v>202591.5858</v>
      </c>
    </row>
    <row r="38" customFormat="false" ht="15" hidden="false" customHeight="true" outlineLevel="0" collapsed="false">
      <c r="A38" s="5" t="s">
        <v>181</v>
      </c>
      <c r="B38" s="17" t="n">
        <f aca="false">B4*Assumptions!B85</f>
        <v>48000</v>
      </c>
      <c r="C38" s="17" t="n">
        <f aca="false">B4*Assumptions!B85*(1+Assumptions!B92)^1</f>
        <v>49440</v>
      </c>
      <c r="D38" s="17" t="n">
        <f aca="false">B4*Assumptions!B85*(1+Assumptions!B92)^2</f>
        <v>50923.2</v>
      </c>
      <c r="E38" s="17" t="n">
        <f aca="false">B4*Assumptions!B85*(1+Assumptions!B92)^3</f>
        <v>52450.896</v>
      </c>
      <c r="F38" s="17" t="n">
        <f aca="false">B4*Assumptions!B85*(1+Assumptions!B92)^4</f>
        <v>54024.42288</v>
      </c>
    </row>
    <row r="39" customFormat="false" ht="15" hidden="false" customHeight="true" outlineLevel="0" collapsed="false">
      <c r="A39" s="5" t="s">
        <v>182</v>
      </c>
      <c r="B39" s="17" t="n">
        <f aca="false">Assumptions!B86</f>
        <v>120000</v>
      </c>
      <c r="C39" s="17" t="n">
        <f aca="false">Assumptions!B86*(1+Assumptions!B92)^1</f>
        <v>123600</v>
      </c>
      <c r="D39" s="17" t="n">
        <f aca="false">Assumptions!B86*(1+Assumptions!B92)^2</f>
        <v>127308</v>
      </c>
      <c r="E39" s="17" t="n">
        <f aca="false">Assumptions!B86*(1+Assumptions!B92)^3</f>
        <v>131127.24</v>
      </c>
      <c r="F39" s="17" t="n">
        <f aca="false">Assumptions!B86*(1+Assumptions!B92)^4</f>
        <v>135061.0572</v>
      </c>
    </row>
    <row r="40" customFormat="false" ht="15" hidden="false" customHeight="true" outlineLevel="0" collapsed="false">
      <c r="A40" s="5" t="s">
        <v>183</v>
      </c>
      <c r="B40" s="17" t="n">
        <f aca="false">B26*Assumptions!B87</f>
        <v>17251.2</v>
      </c>
      <c r="C40" s="17" t="n">
        <f aca="false">C26*Assumptions!B87</f>
        <v>27601.92</v>
      </c>
      <c r="D40" s="17" t="n">
        <f aca="false">D26*Assumptions!B87</f>
        <v>41402.88</v>
      </c>
      <c r="E40" s="17" t="n">
        <f aca="false">E26*Assumptions!B87</f>
        <v>55203.84</v>
      </c>
      <c r="F40" s="17" t="n">
        <f aca="false">F26*Assumptions!B87</f>
        <v>69004.8</v>
      </c>
    </row>
    <row r="41" customFormat="false" ht="15" hidden="false" customHeight="true" outlineLevel="0" collapsed="false">
      <c r="A41" s="5" t="s">
        <v>184</v>
      </c>
      <c r="B41" s="17" t="n">
        <f aca="false">B24*Assumptions!B88</f>
        <v>22522.4</v>
      </c>
      <c r="C41" s="17" t="n">
        <f aca="false">C24*Assumptions!B88</f>
        <v>36035.84</v>
      </c>
      <c r="D41" s="17" t="n">
        <f aca="false">D24*Assumptions!B88</f>
        <v>54053.76</v>
      </c>
      <c r="E41" s="17" t="n">
        <f aca="false">E24*Assumptions!B88</f>
        <v>72071.68</v>
      </c>
      <c r="F41" s="17" t="n">
        <f aca="false">F24*Assumptions!B88</f>
        <v>90089.6</v>
      </c>
    </row>
    <row r="42" customFormat="false" ht="15" hidden="false" customHeight="true" outlineLevel="0" collapsed="false">
      <c r="A42" s="5" t="s">
        <v>185</v>
      </c>
      <c r="B42" s="17" t="n">
        <f aca="false">B24*Assumptions!B89</f>
        <v>5750.4</v>
      </c>
      <c r="C42" s="17" t="n">
        <f aca="false">C24*Assumptions!B89</f>
        <v>9200.64</v>
      </c>
      <c r="D42" s="17" t="n">
        <f aca="false">D24*Assumptions!B89</f>
        <v>13800.96</v>
      </c>
      <c r="E42" s="17" t="n">
        <f aca="false">E24*Assumptions!B89</f>
        <v>18401.28</v>
      </c>
      <c r="F42" s="17" t="n">
        <f aca="false">F24*Assumptions!B89</f>
        <v>23001.6</v>
      </c>
    </row>
    <row r="43" customFormat="false" ht="15" hidden="false" customHeight="true" outlineLevel="0" collapsed="false">
      <c r="A43" s="5" t="s">
        <v>186</v>
      </c>
      <c r="B43" s="17" t="n">
        <f aca="false">Assumptions!B90</f>
        <v>48000</v>
      </c>
      <c r="C43" s="17" t="n">
        <f aca="false">Assumptions!B90*(1+Assumptions!B92)^1</f>
        <v>49440</v>
      </c>
      <c r="D43" s="17" t="n">
        <f aca="false">Assumptions!B90*(1+Assumptions!B92)^2</f>
        <v>50923.2</v>
      </c>
      <c r="E43" s="17" t="n">
        <f aca="false">Assumptions!B90*(1+Assumptions!B92)^3</f>
        <v>52450.896</v>
      </c>
      <c r="F43" s="17" t="n">
        <f aca="false">Assumptions!B90*(1+Assumptions!B92)^4</f>
        <v>54024.42288</v>
      </c>
    </row>
    <row r="44" customFormat="false" ht="15" hidden="false" customHeight="true" outlineLevel="0" collapsed="false">
      <c r="A44" s="5" t="s">
        <v>187</v>
      </c>
      <c r="B44" s="17" t="n">
        <f aca="false">B18*Assumptions!B91</f>
        <v>47560.48</v>
      </c>
      <c r="C44" s="17" t="n">
        <f aca="false">B18*Assumptions!B91</f>
        <v>47560.48</v>
      </c>
      <c r="D44" s="17" t="n">
        <f aca="false">B18*Assumptions!B91</f>
        <v>47560.48</v>
      </c>
      <c r="E44" s="17" t="n">
        <f aca="false">B18*Assumptions!B91</f>
        <v>47560.48</v>
      </c>
      <c r="F44" s="17" t="n">
        <f aca="false">B18*Assumptions!B91</f>
        <v>47560.48</v>
      </c>
    </row>
    <row r="45" customFormat="false" ht="15" hidden="false" customHeight="true" outlineLevel="0" collapsed="false">
      <c r="A45" s="13" t="s">
        <v>188</v>
      </c>
      <c r="B45" s="10" t="n">
        <f aca="false">B35+B36+B37+B38+B39+B40+B41+B42+B43+B44</f>
        <v>1353084.48</v>
      </c>
      <c r="C45" s="10" t="n">
        <f aca="false">C35+C36+C37+C38+C39+C40+C41+C42+C43+C44</f>
        <v>1418198.88</v>
      </c>
      <c r="D45" s="10" t="n">
        <f aca="false">D35+D36+D37+D38+D39+D40+D41+D42+D43+D44</f>
        <v>1493552.08</v>
      </c>
      <c r="E45" s="10" t="n">
        <f aca="false">E35+E36+E37+E38+E39+E40+E41+E42+E43+E44</f>
        <v>1570073.3</v>
      </c>
      <c r="F45" s="10" t="n">
        <f aca="false">F35+F36+F37+F38+F39+F40+F41+F42+F43+F44</f>
        <v>1647797.5806</v>
      </c>
    </row>
    <row r="47" customFormat="false" ht="15" hidden="false" customHeight="true" outlineLevel="0" collapsed="false">
      <c r="A47" s="13" t="s">
        <v>189</v>
      </c>
      <c r="B47" s="20" t="n">
        <f aca="false">B27-B45</f>
        <v>-950556.48</v>
      </c>
      <c r="C47" s="20" t="n">
        <f aca="false">C27-C45</f>
        <v>-774154.08</v>
      </c>
      <c r="D47" s="20" t="n">
        <f aca="false">D27-D45</f>
        <v>-527484.88</v>
      </c>
      <c r="E47" s="20" t="n">
        <f aca="false">E27-E45</f>
        <v>-281983.7</v>
      </c>
      <c r="F47" s="20" t="n">
        <f aca="false">F27-F45</f>
        <v>-37685.5806</v>
      </c>
    </row>
    <row r="48" customFormat="false" ht="15" hidden="false" customHeight="true" outlineLevel="0" collapsed="false">
      <c r="A48" s="5" t="s">
        <v>190</v>
      </c>
      <c r="B48" s="21" t="n">
        <f aca="false">IF(B27=0,0,B47/B27)</f>
        <v>-2.36146673026473</v>
      </c>
      <c r="C48" s="21" t="n">
        <f aca="false">IF(C27=0,0,C47/C27)</f>
        <v>-1.20201898998331</v>
      </c>
      <c r="D48" s="21" t="n">
        <f aca="false">IF(D27=0,0,D47/D27)</f>
        <v>-0.546012616927684</v>
      </c>
      <c r="E48" s="21" t="n">
        <f aca="false">IF(E27=0,0,E47/E27)</f>
        <v>-0.218916215145282</v>
      </c>
      <c r="F48" s="21" t="n">
        <f aca="false">IF(F27=0,0,F47/F27)</f>
        <v>-0.0234055647060577</v>
      </c>
    </row>
    <row r="50" customFormat="false" ht="15" hidden="false" customHeight="true" outlineLevel="0" collapsed="false">
      <c r="A50" s="3" t="s">
        <v>191</v>
      </c>
      <c r="B50" s="4"/>
      <c r="C50" s="4"/>
      <c r="D50" s="4"/>
      <c r="E50" s="4"/>
      <c r="F50" s="4"/>
      <c r="G50" s="4"/>
    </row>
    <row r="51" customFormat="false" ht="15" hidden="false" customHeight="true" outlineLevel="0" collapsed="false">
      <c r="A51" s="5" t="s">
        <v>192</v>
      </c>
      <c r="B51" s="16" t="n">
        <f aca="false">Assumptions!B36*Assumptions!B39</f>
        <v>5783033.52</v>
      </c>
      <c r="C51" s="16" t="n">
        <f aca="false">Assumptions!B36*Assumptions!B40</f>
        <v>4337275.14</v>
      </c>
      <c r="D51" s="16" t="n">
        <f aca="false">Assumptions!B36*Assumptions!B41</f>
        <v>2891516.76</v>
      </c>
      <c r="E51" s="16" t="n">
        <f aca="false">Assumptions!B36*Assumptions!B42+Assumptions!B34*Assumptions!B35</f>
        <v>3052156.58</v>
      </c>
      <c r="F51" s="9" t="n">
        <v>0</v>
      </c>
    </row>
    <row r="52" customFormat="false" ht="15" hidden="false" customHeight="true" outlineLevel="0" collapsed="false">
      <c r="A52" s="13" t="s">
        <v>193</v>
      </c>
      <c r="B52" s="20" t="n">
        <f aca="false">B47-B32+B51</f>
        <v>2116617.04</v>
      </c>
      <c r="C52" s="20" t="n">
        <f aca="false">C47-C32+C51</f>
        <v>3360419.46</v>
      </c>
      <c r="D52" s="20" t="n">
        <f aca="false">D47-D32+D51</f>
        <v>2093763.08</v>
      </c>
      <c r="E52" s="20" t="n">
        <f aca="false">E47-E32+E51</f>
        <v>2499904.08</v>
      </c>
      <c r="F52" s="20" t="n">
        <f aca="false">F47-F32+F51</f>
        <v>-307954.3806</v>
      </c>
    </row>
    <row r="53" customFormat="false" ht="15" hidden="false" customHeight="true" outlineLevel="0" collapsed="false">
      <c r="A53" s="5" t="s">
        <v>194</v>
      </c>
      <c r="B53" s="20" t="n">
        <f aca="false">B52</f>
        <v>2116617.04</v>
      </c>
      <c r="C53" s="20" t="n">
        <f aca="false">B53+C52</f>
        <v>5477036.5</v>
      </c>
      <c r="D53" s="20" t="n">
        <f aca="false">C53+D52</f>
        <v>7570799.58</v>
      </c>
      <c r="E53" s="20" t="n">
        <f aca="false">D53+E52</f>
        <v>10070703.66</v>
      </c>
      <c r="F53" s="20" t="n">
        <f aca="false">E53+F52</f>
        <v>9762749.2794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6"/>
  </cols>
  <sheetData>
    <row r="1" customFormat="false" ht="17.25" hidden="false" customHeight="true" outlineLevel="0" collapsed="false">
      <c r="A1" s="2" t="s">
        <v>195</v>
      </c>
    </row>
    <row r="3" customFormat="false" ht="15" hidden="false" customHeight="true" outlineLevel="0" collapsed="false">
      <c r="A3" s="3" t="s">
        <v>140</v>
      </c>
      <c r="B3" s="4"/>
      <c r="C3" s="4"/>
      <c r="D3" s="4"/>
      <c r="E3" s="4"/>
      <c r="F3" s="4"/>
      <c r="G3" s="4"/>
    </row>
    <row r="4" customFormat="false" ht="15" hidden="false" customHeight="true" outlineLevel="0" collapsed="false">
      <c r="A4" s="5" t="s">
        <v>196</v>
      </c>
      <c r="B4" s="6" t="n">
        <v>101</v>
      </c>
    </row>
    <row r="5" customFormat="false" ht="15" hidden="false" customHeight="true" outlineLevel="0" collapsed="false">
      <c r="A5" s="5" t="s">
        <v>197</v>
      </c>
      <c r="B5" s="6" t="n">
        <v>88</v>
      </c>
    </row>
    <row r="6" customFormat="false" ht="15" hidden="false" customHeight="true" outlineLevel="0" collapsed="false">
      <c r="A6" s="5" t="s">
        <v>198</v>
      </c>
      <c r="B6" s="6" t="n">
        <v>13</v>
      </c>
    </row>
    <row r="7" customFormat="false" ht="15" hidden="false" customHeight="true" outlineLevel="0" collapsed="false">
      <c r="A7" s="5" t="s">
        <v>199</v>
      </c>
      <c r="B7" s="6" t="n">
        <v>102</v>
      </c>
    </row>
    <row r="8" customFormat="false" ht="15" hidden="false" customHeight="true" outlineLevel="0" collapsed="false">
      <c r="A8" s="5" t="s">
        <v>200</v>
      </c>
      <c r="B8" s="6" t="n">
        <v>13</v>
      </c>
    </row>
    <row r="9" customFormat="false" ht="15" hidden="false" customHeight="true" outlineLevel="0" collapsed="false">
      <c r="A9" s="5" t="s">
        <v>201</v>
      </c>
      <c r="B9" s="8" t="n">
        <f aca="false">B7+B8</f>
        <v>115</v>
      </c>
    </row>
    <row r="10" customFormat="false" ht="15" hidden="false" customHeight="true" outlineLevel="0" collapsed="false">
      <c r="A10" s="5" t="s">
        <v>202</v>
      </c>
      <c r="B10" s="6" t="n">
        <v>13</v>
      </c>
    </row>
    <row r="11" customFormat="false" ht="15" hidden="false" customHeight="true" outlineLevel="0" collapsed="false">
      <c r="A11" s="5" t="s">
        <v>203</v>
      </c>
      <c r="B11" s="15" t="n">
        <f aca="false">Assumptions!B5</f>
        <v>6210</v>
      </c>
    </row>
    <row r="12" customFormat="false" ht="15" hidden="false" customHeight="true" outlineLevel="0" collapsed="false">
      <c r="A12" s="5" t="s">
        <v>204</v>
      </c>
      <c r="B12" s="15" t="n">
        <f aca="false">Assumptions!B6</f>
        <v>5136</v>
      </c>
    </row>
    <row r="13" customFormat="false" ht="15" hidden="false" customHeight="true" outlineLevel="0" collapsed="false">
      <c r="A13" s="5" t="s">
        <v>205</v>
      </c>
      <c r="B13" s="8" t="n">
        <f aca="false">B11+B12</f>
        <v>11346</v>
      </c>
    </row>
    <row r="14" customFormat="false" ht="15" hidden="false" customHeight="true" outlineLevel="0" collapsed="false">
      <c r="A14" s="5" t="s">
        <v>145</v>
      </c>
      <c r="B14" s="15" t="n">
        <f aca="false">Assumptions!B4-B13</f>
        <v>0</v>
      </c>
    </row>
    <row r="16" customFormat="false" ht="15" hidden="false" customHeight="true" outlineLevel="0" collapsed="false">
      <c r="A16" s="3" t="s">
        <v>146</v>
      </c>
      <c r="B16" s="4"/>
      <c r="C16" s="4"/>
      <c r="D16" s="4"/>
      <c r="E16" s="4"/>
      <c r="F16" s="4"/>
      <c r="G16" s="4"/>
    </row>
    <row r="17" customFormat="false" ht="15" hidden="false" customHeight="true" outlineLevel="0" collapsed="false">
      <c r="A17" s="5" t="s">
        <v>206</v>
      </c>
      <c r="B17" s="16" t="n">
        <f aca="false">B7*Assumptions!B69</f>
        <v>2142000</v>
      </c>
      <c r="C17" s="7" t="s">
        <v>207</v>
      </c>
    </row>
    <row r="18" customFormat="false" ht="15" hidden="false" customHeight="true" outlineLevel="0" collapsed="false">
      <c r="A18" s="5" t="s">
        <v>208</v>
      </c>
      <c r="B18" s="16" t="n">
        <f aca="false">B8*Assumptions!B71</f>
        <v>151242</v>
      </c>
      <c r="C18" s="7" t="s">
        <v>209</v>
      </c>
    </row>
    <row r="19" customFormat="false" ht="15" hidden="false" customHeight="true" outlineLevel="0" collapsed="false">
      <c r="A19" s="5" t="s">
        <v>149</v>
      </c>
      <c r="B19" s="16" t="n">
        <f aca="false">B4*Assumptions!B70</f>
        <v>146046</v>
      </c>
      <c r="C19" s="7" t="s">
        <v>210</v>
      </c>
    </row>
    <row r="20" customFormat="false" ht="15" hidden="false" customHeight="true" outlineLevel="0" collapsed="false">
      <c r="A20" s="5" t="s">
        <v>202</v>
      </c>
      <c r="B20" s="16" t="n">
        <f aca="false">B10*Assumptions!B72</f>
        <v>26000</v>
      </c>
      <c r="C20" s="7" t="s">
        <v>211</v>
      </c>
    </row>
    <row r="21" customFormat="false" ht="15" hidden="false" customHeight="true" outlineLevel="0" collapsed="false">
      <c r="A21" s="5" t="s">
        <v>212</v>
      </c>
      <c r="B21" s="16" t="n">
        <f aca="false">B4*Assumptions!B75</f>
        <v>5050000</v>
      </c>
      <c r="C21" s="7" t="s">
        <v>213</v>
      </c>
    </row>
    <row r="22" customFormat="false" ht="15" hidden="false" customHeight="true" outlineLevel="0" collapsed="false">
      <c r="A22" s="5" t="s">
        <v>155</v>
      </c>
      <c r="B22" s="16" t="n">
        <f aca="false">B4*Assumptions!B77</f>
        <v>1010000</v>
      </c>
      <c r="C22" s="7" t="s">
        <v>214</v>
      </c>
    </row>
    <row r="23" customFormat="false" ht="15" hidden="false" customHeight="true" outlineLevel="0" collapsed="false">
      <c r="A23" s="5" t="s">
        <v>157</v>
      </c>
      <c r="B23" s="10" t="n">
        <f aca="false">SUM(B17:B22)</f>
        <v>8525288</v>
      </c>
    </row>
    <row r="24" customFormat="false" ht="15" hidden="false" customHeight="true" outlineLevel="0" collapsed="false">
      <c r="A24" s="5" t="s">
        <v>158</v>
      </c>
      <c r="B24" s="17" t="n">
        <f aca="false">B23*Assumptions!B78</f>
        <v>852528.8</v>
      </c>
    </row>
    <row r="25" customFormat="false" ht="15" hidden="false" customHeight="true" outlineLevel="0" collapsed="false">
      <c r="A25" s="5" t="s">
        <v>159</v>
      </c>
      <c r="B25" s="10" t="n">
        <f aca="false">B23+B24</f>
        <v>9377816.8</v>
      </c>
    </row>
    <row r="27" customFormat="false" ht="15" hidden="false" customHeight="true" outlineLevel="0" collapsed="false">
      <c r="A27" s="3" t="s">
        <v>160</v>
      </c>
      <c r="B27" s="4"/>
      <c r="C27" s="4"/>
      <c r="D27" s="4"/>
      <c r="E27" s="4"/>
      <c r="F27" s="4"/>
      <c r="G27" s="4"/>
    </row>
    <row r="28" customFormat="false" ht="15" hidden="false" customHeight="true" outlineLevel="0" collapsed="false">
      <c r="A28" s="13" t="s">
        <v>161</v>
      </c>
      <c r="B28" s="18" t="s">
        <v>162</v>
      </c>
      <c r="C28" s="18" t="s">
        <v>163</v>
      </c>
      <c r="D28" s="18" t="s">
        <v>164</v>
      </c>
      <c r="E28" s="18" t="s">
        <v>165</v>
      </c>
      <c r="F28" s="18" t="s">
        <v>166</v>
      </c>
    </row>
    <row r="29" customFormat="false" ht="15" hidden="false" customHeight="true" outlineLevel="0" collapsed="false">
      <c r="A29" s="5" t="s">
        <v>167</v>
      </c>
      <c r="B29" s="19" t="n">
        <f aca="false">Assumptions!B53</f>
        <v>0.05</v>
      </c>
      <c r="C29" s="19" t="n">
        <f aca="false">Assumptions!B54</f>
        <v>0.08</v>
      </c>
      <c r="D29" s="19" t="n">
        <f aca="false">Assumptions!B55</f>
        <v>0.12</v>
      </c>
      <c r="E29" s="19" t="n">
        <f aca="false">Assumptions!B56</f>
        <v>0.16</v>
      </c>
      <c r="F29" s="19" t="n">
        <f aca="false">Assumptions!B57</f>
        <v>0.2</v>
      </c>
    </row>
    <row r="30" customFormat="false" ht="15" hidden="false" customHeight="true" outlineLevel="0" collapsed="false">
      <c r="A30" s="5" t="s">
        <v>168</v>
      </c>
      <c r="B30" s="19" t="n">
        <f aca="false">Assumptions!C53</f>
        <v>0.04</v>
      </c>
      <c r="C30" s="19" t="n">
        <f aca="false">Assumptions!C54</f>
        <v>0.07</v>
      </c>
      <c r="D30" s="19" t="n">
        <f aca="false">Assumptions!C55</f>
        <v>0.1</v>
      </c>
      <c r="E30" s="19" t="n">
        <f aca="false">Assumptions!C56</f>
        <v>0.14</v>
      </c>
      <c r="F30" s="19" t="n">
        <f aca="false">Assumptions!C57</f>
        <v>0.18</v>
      </c>
    </row>
    <row r="31" customFormat="false" ht="15" hidden="false" customHeight="true" outlineLevel="0" collapsed="false">
      <c r="A31" s="5" t="s">
        <v>169</v>
      </c>
      <c r="B31" s="8" t="n">
        <f aca="false">B11*B29</f>
        <v>310.5</v>
      </c>
      <c r="C31" s="8" t="n">
        <f aca="false">B11*C29</f>
        <v>496.8</v>
      </c>
      <c r="D31" s="8" t="n">
        <f aca="false">B11*D29</f>
        <v>745.2</v>
      </c>
      <c r="E31" s="8" t="n">
        <f aca="false">B11*E29</f>
        <v>993.6</v>
      </c>
      <c r="F31" s="8" t="n">
        <f aca="false">B11*F29</f>
        <v>1242</v>
      </c>
    </row>
    <row r="32" customFormat="false" ht="15" hidden="false" customHeight="true" outlineLevel="0" collapsed="false">
      <c r="A32" s="5" t="s">
        <v>170</v>
      </c>
      <c r="B32" s="8" t="n">
        <f aca="false">B12*B30</f>
        <v>205.44</v>
      </c>
      <c r="C32" s="8" t="n">
        <f aca="false">B12*C30</f>
        <v>359.52</v>
      </c>
      <c r="D32" s="8" t="n">
        <f aca="false">B12*D30</f>
        <v>513.6</v>
      </c>
      <c r="E32" s="8" t="n">
        <f aca="false">B12*E30</f>
        <v>719.04</v>
      </c>
      <c r="F32" s="8" t="n">
        <f aca="false">B12*F30</f>
        <v>924.48</v>
      </c>
    </row>
    <row r="33" customFormat="false" ht="15" hidden="false" customHeight="true" outlineLevel="0" collapsed="false">
      <c r="A33" s="13" t="s">
        <v>171</v>
      </c>
      <c r="B33" s="8" t="n">
        <f aca="false">B31+B32</f>
        <v>515.94</v>
      </c>
      <c r="C33" s="8" t="n">
        <f aca="false">C31+C32</f>
        <v>856.32</v>
      </c>
      <c r="D33" s="8" t="n">
        <f aca="false">D31+D32</f>
        <v>1258.8</v>
      </c>
      <c r="E33" s="8" t="n">
        <f aca="false">E31+E32</f>
        <v>1712.64</v>
      </c>
      <c r="F33" s="8" t="n">
        <f aca="false">F31+F32</f>
        <v>2166.48</v>
      </c>
    </row>
    <row r="34" customFormat="false" ht="15" hidden="false" customHeight="true" outlineLevel="0" collapsed="false">
      <c r="A34" s="13" t="s">
        <v>172</v>
      </c>
      <c r="B34" s="10" t="n">
        <f aca="false">B33*Assumptions!B49</f>
        <v>433389.6</v>
      </c>
      <c r="C34" s="10" t="n">
        <f aca="false">C33*Assumptions!B49</f>
        <v>719308.8</v>
      </c>
      <c r="D34" s="10" t="n">
        <f aca="false">D33*Assumptions!B49</f>
        <v>1057392</v>
      </c>
      <c r="E34" s="10" t="n">
        <f aca="false">E33*Assumptions!B49</f>
        <v>1438617.6</v>
      </c>
      <c r="F34" s="10" t="n">
        <f aca="false">F33*Assumptions!B49</f>
        <v>1819843.2</v>
      </c>
    </row>
    <row r="36" customFormat="false" ht="15" hidden="false" customHeight="true" outlineLevel="0" collapsed="false">
      <c r="A36" s="5" t="s">
        <v>173</v>
      </c>
      <c r="B36" s="10" t="n">
        <f aca="false">B31*Assumptions!B63</f>
        <v>218902.5</v>
      </c>
      <c r="C36" s="10" t="n">
        <f aca="false">(C31-B31)*Assumptions!B63</f>
        <v>131341.5</v>
      </c>
      <c r="D36" s="10" t="n">
        <f aca="false">(D31-C31)*Assumptions!B63</f>
        <v>175122</v>
      </c>
      <c r="E36" s="10" t="n">
        <f aca="false">(E31-D31)*Assumptions!B63</f>
        <v>175122</v>
      </c>
      <c r="F36" s="10" t="n">
        <f aca="false">(F31-E31)*Assumptions!B63</f>
        <v>175122</v>
      </c>
    </row>
    <row r="37" customFormat="false" ht="15" hidden="false" customHeight="true" outlineLevel="0" collapsed="false">
      <c r="A37" s="5" t="s">
        <v>174</v>
      </c>
      <c r="B37" s="10" t="n">
        <f aca="false">B32*Assumptions!B66</f>
        <v>71904</v>
      </c>
      <c r="C37" s="10" t="n">
        <f aca="false">(C32-B32)*Assumptions!B66</f>
        <v>53928</v>
      </c>
      <c r="D37" s="10" t="n">
        <f aca="false">(D32-C32)*Assumptions!B66</f>
        <v>53928</v>
      </c>
      <c r="E37" s="10" t="n">
        <f aca="false">(E32-D32)*Assumptions!B66</f>
        <v>71904</v>
      </c>
      <c r="F37" s="10" t="n">
        <f aca="false">(F32-E32)*Assumptions!B66</f>
        <v>71904</v>
      </c>
    </row>
    <row r="38" customFormat="false" ht="15" hidden="false" customHeight="true" outlineLevel="0" collapsed="false">
      <c r="A38" s="5" t="s">
        <v>175</v>
      </c>
      <c r="B38" s="10" t="n">
        <f aca="false">B36+B37</f>
        <v>290806.5</v>
      </c>
      <c r="C38" s="10" t="n">
        <f aca="false">C36+C37</f>
        <v>185269.5</v>
      </c>
      <c r="D38" s="10" t="n">
        <f aca="false">D36+D37</f>
        <v>229050</v>
      </c>
      <c r="E38" s="10" t="n">
        <f aca="false">E36+E37</f>
        <v>247026</v>
      </c>
      <c r="F38" s="10" t="n">
        <f aca="false">F36+F37</f>
        <v>247026</v>
      </c>
    </row>
    <row r="39" customFormat="false" ht="15" hidden="false" customHeight="true" outlineLevel="0" collapsed="false">
      <c r="A39" s="13" t="s">
        <v>176</v>
      </c>
      <c r="B39" s="10" t="n">
        <f aca="false">B25+B38</f>
        <v>9668623.3</v>
      </c>
      <c r="C39" s="10" t="n">
        <f aca="false">C38</f>
        <v>185269.5</v>
      </c>
      <c r="D39" s="10" t="n">
        <f aca="false">D38</f>
        <v>229050</v>
      </c>
      <c r="E39" s="10" t="n">
        <f aca="false">E38</f>
        <v>247026</v>
      </c>
      <c r="F39" s="10" t="n">
        <f aca="false">F38</f>
        <v>247026</v>
      </c>
    </row>
    <row r="41" customFormat="false" ht="15" hidden="false" customHeight="true" outlineLevel="0" collapsed="false">
      <c r="A41" s="3" t="s">
        <v>177</v>
      </c>
      <c r="B41" s="4"/>
      <c r="C41" s="4"/>
      <c r="D41" s="4"/>
      <c r="E41" s="4"/>
      <c r="F41" s="4"/>
      <c r="G41" s="4"/>
    </row>
    <row r="42" customFormat="false" ht="15" hidden="false" customHeight="true" outlineLevel="0" collapsed="false">
      <c r="A42" s="5" t="s">
        <v>178</v>
      </c>
      <c r="B42" s="17" t="n">
        <f aca="false">B4*Assumptions!B82</f>
        <v>606000</v>
      </c>
      <c r="C42" s="17" t="n">
        <f aca="false">B4*Assumptions!B82*(1+Assumptions!B92)^1</f>
        <v>624180</v>
      </c>
      <c r="D42" s="17" t="n">
        <f aca="false">B4*Assumptions!B82*(1+Assumptions!B92)^2</f>
        <v>642905.4</v>
      </c>
      <c r="E42" s="17" t="n">
        <f aca="false">B4*Assumptions!B82*(1+Assumptions!B92)^3</f>
        <v>662192.562</v>
      </c>
      <c r="F42" s="17" t="n">
        <f aca="false">B4*Assumptions!B82*(1+Assumptions!B92)^4</f>
        <v>682058.33886</v>
      </c>
    </row>
    <row r="43" customFormat="false" ht="15" hidden="false" customHeight="true" outlineLevel="0" collapsed="false">
      <c r="A43" s="5" t="s">
        <v>179</v>
      </c>
      <c r="B43" s="17" t="n">
        <f aca="false">B4*Assumptions!B83</f>
        <v>363600</v>
      </c>
      <c r="C43" s="17" t="n">
        <f aca="false">B4*Assumptions!B83*(1+Assumptions!B92)^1</f>
        <v>374508</v>
      </c>
      <c r="D43" s="17" t="n">
        <f aca="false">B4*Assumptions!B83*(1+Assumptions!B92)^2</f>
        <v>385743.24</v>
      </c>
      <c r="E43" s="17" t="n">
        <f aca="false">B4*Assumptions!B83*(1+Assumptions!B92)^3</f>
        <v>397315.5372</v>
      </c>
      <c r="F43" s="17" t="n">
        <f aca="false">B4*Assumptions!B83*(1+Assumptions!B92)^4</f>
        <v>409235.003316</v>
      </c>
    </row>
    <row r="44" customFormat="false" ht="15" hidden="false" customHeight="true" outlineLevel="0" collapsed="false">
      <c r="A44" s="5" t="s">
        <v>180</v>
      </c>
      <c r="B44" s="17" t="n">
        <f aca="false">Assumptions!B84</f>
        <v>180000</v>
      </c>
      <c r="C44" s="17" t="n">
        <f aca="false">Assumptions!B84*(1+Assumptions!B92)^1</f>
        <v>185400</v>
      </c>
      <c r="D44" s="17" t="n">
        <f aca="false">Assumptions!B84*(1+Assumptions!B92)^2</f>
        <v>190962</v>
      </c>
      <c r="E44" s="17" t="n">
        <f aca="false">Assumptions!B84*(1+Assumptions!B92)^3</f>
        <v>196690.86</v>
      </c>
      <c r="F44" s="17" t="n">
        <f aca="false">Assumptions!B84*(1+Assumptions!B92)^4</f>
        <v>202591.5858</v>
      </c>
    </row>
    <row r="45" customFormat="false" ht="15" hidden="false" customHeight="true" outlineLevel="0" collapsed="false">
      <c r="A45" s="5" t="s">
        <v>181</v>
      </c>
      <c r="B45" s="17" t="n">
        <f aca="false">B4*Assumptions!B85</f>
        <v>121200</v>
      </c>
      <c r="C45" s="17" t="n">
        <f aca="false">B4*Assumptions!B85*(1+Assumptions!B92)^1</f>
        <v>124836</v>
      </c>
      <c r="D45" s="17" t="n">
        <f aca="false">B4*Assumptions!B85*(1+Assumptions!B92)^2</f>
        <v>128581.08</v>
      </c>
      <c r="E45" s="17" t="n">
        <f aca="false">B4*Assumptions!B85*(1+Assumptions!B92)^3</f>
        <v>132438.5124</v>
      </c>
      <c r="F45" s="17" t="n">
        <f aca="false">B4*Assumptions!B85*(1+Assumptions!B92)^4</f>
        <v>136411.667772</v>
      </c>
    </row>
    <row r="46" customFormat="false" ht="15" hidden="false" customHeight="true" outlineLevel="0" collapsed="false">
      <c r="A46" s="5" t="s">
        <v>182</v>
      </c>
      <c r="B46" s="17" t="n">
        <f aca="false">Assumptions!B86</f>
        <v>120000</v>
      </c>
      <c r="C46" s="17" t="n">
        <f aca="false">Assumptions!B86*(1+Assumptions!B92)^1</f>
        <v>123600</v>
      </c>
      <c r="D46" s="17" t="n">
        <f aca="false">Assumptions!B86*(1+Assumptions!B92)^2</f>
        <v>127308</v>
      </c>
      <c r="E46" s="17" t="n">
        <f aca="false">Assumptions!B86*(1+Assumptions!B92)^3</f>
        <v>131127.24</v>
      </c>
      <c r="F46" s="17" t="n">
        <f aca="false">Assumptions!B86*(1+Assumptions!B92)^4</f>
        <v>135061.0572</v>
      </c>
    </row>
    <row r="47" customFormat="false" ht="15" hidden="false" customHeight="true" outlineLevel="0" collapsed="false">
      <c r="A47" s="5" t="s">
        <v>183</v>
      </c>
      <c r="B47" s="17" t="n">
        <f aca="false">B33*Assumptions!B87</f>
        <v>18573.84</v>
      </c>
      <c r="C47" s="17" t="n">
        <f aca="false">C33*Assumptions!B87</f>
        <v>30827.52</v>
      </c>
      <c r="D47" s="17" t="n">
        <f aca="false">D33*Assumptions!B87</f>
        <v>45316.8</v>
      </c>
      <c r="E47" s="17" t="n">
        <f aca="false">E33*Assumptions!B87</f>
        <v>61655.04</v>
      </c>
      <c r="F47" s="17" t="n">
        <f aca="false">F33*Assumptions!B87</f>
        <v>77993.28</v>
      </c>
    </row>
    <row r="48" customFormat="false" ht="15" hidden="false" customHeight="true" outlineLevel="0" collapsed="false">
      <c r="A48" s="5" t="s">
        <v>184</v>
      </c>
      <c r="B48" s="17" t="n">
        <f aca="false">B31*Assumptions!B88</f>
        <v>14593.5</v>
      </c>
      <c r="C48" s="17" t="n">
        <f aca="false">C31*Assumptions!B88</f>
        <v>23349.6</v>
      </c>
      <c r="D48" s="17" t="n">
        <f aca="false">D31*Assumptions!B88</f>
        <v>35024.4</v>
      </c>
      <c r="E48" s="17" t="n">
        <f aca="false">E31*Assumptions!B88</f>
        <v>46699.2</v>
      </c>
      <c r="F48" s="17" t="n">
        <f aca="false">F31*Assumptions!B88</f>
        <v>58374</v>
      </c>
    </row>
    <row r="49" customFormat="false" ht="15" hidden="false" customHeight="true" outlineLevel="0" collapsed="false">
      <c r="A49" s="5" t="s">
        <v>185</v>
      </c>
      <c r="B49" s="17" t="n">
        <f aca="false">B31*Assumptions!B89</f>
        <v>3726</v>
      </c>
      <c r="C49" s="17" t="n">
        <f aca="false">C31*Assumptions!B89</f>
        <v>5961.6</v>
      </c>
      <c r="D49" s="17" t="n">
        <f aca="false">D31*Assumptions!B89</f>
        <v>8942.4</v>
      </c>
      <c r="E49" s="17" t="n">
        <f aca="false">E31*Assumptions!B89</f>
        <v>11923.2</v>
      </c>
      <c r="F49" s="17" t="n">
        <f aca="false">F31*Assumptions!B89</f>
        <v>14904</v>
      </c>
    </row>
    <row r="50" customFormat="false" ht="15" hidden="false" customHeight="true" outlineLevel="0" collapsed="false">
      <c r="A50" s="5" t="s">
        <v>186</v>
      </c>
      <c r="B50" s="17" t="n">
        <f aca="false">Assumptions!B90</f>
        <v>48000</v>
      </c>
      <c r="C50" s="17" t="n">
        <f aca="false">Assumptions!B90*(1+Assumptions!B92)^1</f>
        <v>49440</v>
      </c>
      <c r="D50" s="17" t="n">
        <f aca="false">Assumptions!B90*(1+Assumptions!B92)^2</f>
        <v>50923.2</v>
      </c>
      <c r="E50" s="17" t="n">
        <f aca="false">Assumptions!B90*(1+Assumptions!B92)^3</f>
        <v>52450.896</v>
      </c>
      <c r="F50" s="17" t="n">
        <f aca="false">Assumptions!B90*(1+Assumptions!B92)^4</f>
        <v>54024.42288</v>
      </c>
    </row>
    <row r="51" customFormat="false" ht="15" hidden="false" customHeight="true" outlineLevel="0" collapsed="false">
      <c r="A51" s="5" t="s">
        <v>187</v>
      </c>
      <c r="B51" s="17" t="n">
        <f aca="false">B25*Assumptions!B91</f>
        <v>187556.336</v>
      </c>
      <c r="C51" s="17" t="n">
        <f aca="false">B25*Assumptions!B91</f>
        <v>187556.336</v>
      </c>
      <c r="D51" s="17" t="n">
        <f aca="false">B25*Assumptions!B91</f>
        <v>187556.336</v>
      </c>
      <c r="E51" s="17" t="n">
        <f aca="false">B25*Assumptions!B91</f>
        <v>187556.336</v>
      </c>
      <c r="F51" s="17" t="n">
        <f aca="false">B25*Assumptions!B91</f>
        <v>187556.336</v>
      </c>
    </row>
    <row r="52" customFormat="false" ht="15" hidden="false" customHeight="true" outlineLevel="0" collapsed="false">
      <c r="A52" s="13" t="s">
        <v>188</v>
      </c>
      <c r="B52" s="10" t="n">
        <f aca="false">B42+B43+B44+B45+B46+B47+B48+B49+B50+B51</f>
        <v>1663249.676</v>
      </c>
      <c r="C52" s="10" t="n">
        <f aca="false">C42+C43+C44+C45+C46+C47+C48+C49+C50+C51</f>
        <v>1729659.056</v>
      </c>
      <c r="D52" s="10" t="n">
        <f aca="false">D42+D43+D44+D45+D46+D47+D48+D49+D50+D51</f>
        <v>1803262.856</v>
      </c>
      <c r="E52" s="10" t="n">
        <f aca="false">E42+E43+E44+E45+E46+E47+E48+E49+E50+E51</f>
        <v>1880049.3836</v>
      </c>
      <c r="F52" s="10" t="n">
        <f aca="false">F42+F43+F44+F45+F46+F47+F48+F49+F50+F51</f>
        <v>1958209.691828</v>
      </c>
    </row>
    <row r="54" customFormat="false" ht="15" hidden="false" customHeight="true" outlineLevel="0" collapsed="false">
      <c r="A54" s="13" t="s">
        <v>189</v>
      </c>
      <c r="B54" s="20" t="n">
        <f aca="false">B34-B52</f>
        <v>-1229860.076</v>
      </c>
      <c r="C54" s="20" t="n">
        <f aca="false">C34-C52</f>
        <v>-1010350.256</v>
      </c>
      <c r="D54" s="20" t="n">
        <f aca="false">D34-D52</f>
        <v>-745870.856</v>
      </c>
      <c r="E54" s="20" t="n">
        <f aca="false">E34-E52</f>
        <v>-441431.7836</v>
      </c>
      <c r="F54" s="20" t="n">
        <f aca="false">F34-F52</f>
        <v>-138366.491828</v>
      </c>
    </row>
    <row r="55" customFormat="false" ht="15" hidden="false" customHeight="true" outlineLevel="0" collapsed="false">
      <c r="A55" s="5" t="s">
        <v>190</v>
      </c>
      <c r="B55" s="21" t="n">
        <f aca="false">IF(B34=0,0,B54/B34)</f>
        <v>-2.83777016338186</v>
      </c>
      <c r="C55" s="21" t="n">
        <f aca="false">IF(C34=0,0,C54/C34)</f>
        <v>-1.40461267261015</v>
      </c>
      <c r="D55" s="21" t="n">
        <f aca="false">IF(D34=0,0,D54/D34)</f>
        <v>-0.705387269811007</v>
      </c>
      <c r="E55" s="21" t="n">
        <f aca="false">IF(E34=0,0,E54/E34)</f>
        <v>-0.306844420365774</v>
      </c>
      <c r="F55" s="21" t="n">
        <f aca="false">IF(F34=0,0,F54/F34)</f>
        <v>-0.0760320954178909</v>
      </c>
    </row>
    <row r="57" customFormat="false" ht="15" hidden="false" customHeight="true" outlineLevel="0" collapsed="false">
      <c r="A57" s="3" t="s">
        <v>191</v>
      </c>
      <c r="B57" s="4"/>
      <c r="C57" s="4"/>
      <c r="D57" s="4"/>
      <c r="E57" s="4"/>
      <c r="F57" s="4"/>
      <c r="G57" s="4"/>
    </row>
    <row r="58" customFormat="false" ht="15" hidden="false" customHeight="true" outlineLevel="0" collapsed="false">
      <c r="A58" s="5" t="s">
        <v>192</v>
      </c>
      <c r="B58" s="16" t="n">
        <f aca="false">Assumptions!B36*Assumptions!B39</f>
        <v>5783033.52</v>
      </c>
      <c r="C58" s="16" t="n">
        <f aca="false">Assumptions!B36*Assumptions!B40</f>
        <v>4337275.14</v>
      </c>
      <c r="D58" s="16" t="n">
        <f aca="false">Assumptions!B36*Assumptions!B41</f>
        <v>2891516.76</v>
      </c>
      <c r="E58" s="16" t="n">
        <f aca="false">Assumptions!B36*Assumptions!B42+Assumptions!B34*Assumptions!B35</f>
        <v>3052156.58</v>
      </c>
      <c r="F58" s="9" t="n">
        <v>0</v>
      </c>
    </row>
    <row r="59" customFormat="false" ht="15" hidden="false" customHeight="true" outlineLevel="0" collapsed="false">
      <c r="A59" s="13" t="s">
        <v>193</v>
      </c>
      <c r="B59" s="20" t="n">
        <f aca="false">B54-B39+B58</f>
        <v>-5115449.856</v>
      </c>
      <c r="C59" s="20" t="n">
        <f aca="false">C54-C39+C58</f>
        <v>3141655.384</v>
      </c>
      <c r="D59" s="20" t="n">
        <f aca="false">D54-D39+D58</f>
        <v>1916595.904</v>
      </c>
      <c r="E59" s="20" t="n">
        <f aca="false">E54-E39+E58</f>
        <v>2363698.7964</v>
      </c>
      <c r="F59" s="20" t="n">
        <f aca="false">F54-F39+F58</f>
        <v>-385392.491828</v>
      </c>
    </row>
    <row r="60" customFormat="false" ht="15" hidden="false" customHeight="true" outlineLevel="0" collapsed="false">
      <c r="A60" s="5" t="s">
        <v>194</v>
      </c>
      <c r="B60" s="20" t="n">
        <f aca="false">B59</f>
        <v>-5115449.856</v>
      </c>
      <c r="C60" s="20" t="n">
        <f aca="false">B60+C59</f>
        <v>-1973794.472</v>
      </c>
      <c r="D60" s="20" t="n">
        <f aca="false">C60+D59</f>
        <v>-57198.568</v>
      </c>
      <c r="E60" s="20" t="n">
        <f aca="false">D60+E59</f>
        <v>2306500.2284</v>
      </c>
      <c r="F60" s="20" t="n">
        <f aca="false">E60+F59</f>
        <v>1921107.736572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6"/>
  </cols>
  <sheetData>
    <row r="1" customFormat="false" ht="17.25" hidden="false" customHeight="true" outlineLevel="0" collapsed="false">
      <c r="A1" s="2" t="s">
        <v>215</v>
      </c>
    </row>
    <row r="3" customFormat="false" ht="15" hidden="false" customHeight="true" outlineLevel="0" collapsed="false">
      <c r="A3" s="3" t="s">
        <v>140</v>
      </c>
      <c r="B3" s="4"/>
      <c r="C3" s="4"/>
      <c r="D3" s="4"/>
      <c r="E3" s="4"/>
      <c r="F3" s="4"/>
      <c r="G3" s="4"/>
    </row>
    <row r="4" customFormat="false" ht="15" hidden="false" customHeight="true" outlineLevel="0" collapsed="false">
      <c r="A4" s="5" t="s">
        <v>216</v>
      </c>
      <c r="B4" s="6" t="n">
        <v>24</v>
      </c>
    </row>
    <row r="5" customFormat="false" ht="15" hidden="false" customHeight="true" outlineLevel="0" collapsed="false">
      <c r="A5" s="5" t="s">
        <v>217</v>
      </c>
      <c r="B5" s="6" t="n">
        <v>77</v>
      </c>
    </row>
    <row r="6" customFormat="false" ht="15" hidden="false" customHeight="true" outlineLevel="0" collapsed="false">
      <c r="A6" s="5" t="s">
        <v>196</v>
      </c>
      <c r="B6" s="8" t="n">
        <f aca="false">B4+B5</f>
        <v>101</v>
      </c>
    </row>
    <row r="7" customFormat="false" ht="15" hidden="false" customHeight="true" outlineLevel="0" collapsed="false">
      <c r="A7" s="5" t="s">
        <v>197</v>
      </c>
      <c r="B7" s="6" t="n">
        <v>88</v>
      </c>
    </row>
    <row r="8" customFormat="false" ht="15" hidden="false" customHeight="true" outlineLevel="0" collapsed="false">
      <c r="A8" s="5" t="s">
        <v>198</v>
      </c>
      <c r="B8" s="6" t="n">
        <v>13</v>
      </c>
    </row>
    <row r="9" customFormat="false" ht="15" hidden="false" customHeight="true" outlineLevel="0" collapsed="false">
      <c r="A9" s="5" t="s">
        <v>199</v>
      </c>
      <c r="B9" s="6" t="n">
        <v>102</v>
      </c>
    </row>
    <row r="10" customFormat="false" ht="15" hidden="false" customHeight="true" outlineLevel="0" collapsed="false">
      <c r="A10" s="5" t="s">
        <v>200</v>
      </c>
      <c r="B10" s="6" t="n">
        <v>13</v>
      </c>
    </row>
    <row r="11" customFormat="false" ht="15" hidden="false" customHeight="true" outlineLevel="0" collapsed="false">
      <c r="A11" s="5" t="s">
        <v>201</v>
      </c>
      <c r="B11" s="8" t="n">
        <f aca="false">B9+B10</f>
        <v>115</v>
      </c>
    </row>
    <row r="12" customFormat="false" ht="15" hidden="false" customHeight="true" outlineLevel="0" collapsed="false">
      <c r="A12" s="5" t="s">
        <v>202</v>
      </c>
      <c r="B12" s="6" t="n">
        <v>13</v>
      </c>
    </row>
    <row r="13" customFormat="false" ht="15" hidden="false" customHeight="true" outlineLevel="0" collapsed="false">
      <c r="A13" s="5" t="s">
        <v>203</v>
      </c>
      <c r="B13" s="15" t="n">
        <f aca="false">Assumptions!B5</f>
        <v>6210</v>
      </c>
    </row>
    <row r="14" customFormat="false" ht="15" hidden="false" customHeight="true" outlineLevel="0" collapsed="false">
      <c r="A14" s="5" t="s">
        <v>204</v>
      </c>
      <c r="B14" s="15" t="n">
        <f aca="false">Assumptions!B6</f>
        <v>5136</v>
      </c>
    </row>
    <row r="15" customFormat="false" ht="15" hidden="false" customHeight="true" outlineLevel="0" collapsed="false">
      <c r="A15" s="5" t="s">
        <v>205</v>
      </c>
      <c r="B15" s="8" t="n">
        <f aca="false">B13+B14</f>
        <v>11346</v>
      </c>
    </row>
    <row r="16" customFormat="false" ht="15" hidden="false" customHeight="true" outlineLevel="0" collapsed="false">
      <c r="A16" s="5" t="s">
        <v>145</v>
      </c>
      <c r="B16" s="15" t="n">
        <f aca="false">Assumptions!B4-B15</f>
        <v>0</v>
      </c>
    </row>
    <row r="18" customFormat="false" ht="15" hidden="false" customHeight="true" outlineLevel="0" collapsed="false">
      <c r="A18" s="3" t="s">
        <v>146</v>
      </c>
      <c r="B18" s="4"/>
      <c r="C18" s="4"/>
      <c r="D18" s="4"/>
      <c r="E18" s="4"/>
      <c r="F18" s="4"/>
      <c r="G18" s="4"/>
    </row>
    <row r="19" customFormat="false" ht="15" hidden="false" customHeight="true" outlineLevel="0" collapsed="false">
      <c r="A19" s="5" t="s">
        <v>206</v>
      </c>
      <c r="B19" s="16" t="n">
        <f aca="false">B9*Assumptions!B69</f>
        <v>2142000</v>
      </c>
      <c r="C19" s="7" t="s">
        <v>207</v>
      </c>
    </row>
    <row r="20" customFormat="false" ht="15" hidden="false" customHeight="true" outlineLevel="0" collapsed="false">
      <c r="A20" s="5" t="s">
        <v>208</v>
      </c>
      <c r="B20" s="16" t="n">
        <f aca="false">B10*Assumptions!B71</f>
        <v>151242</v>
      </c>
      <c r="C20" s="7" t="s">
        <v>209</v>
      </c>
    </row>
    <row r="21" customFormat="false" ht="15" hidden="false" customHeight="true" outlineLevel="0" collapsed="false">
      <c r="A21" s="5" t="s">
        <v>149</v>
      </c>
      <c r="B21" s="16" t="n">
        <f aca="false">B6*Assumptions!B70</f>
        <v>146046</v>
      </c>
      <c r="C21" s="7" t="s">
        <v>210</v>
      </c>
    </row>
    <row r="22" customFormat="false" ht="15" hidden="false" customHeight="true" outlineLevel="0" collapsed="false">
      <c r="A22" s="5" t="s">
        <v>202</v>
      </c>
      <c r="B22" s="16" t="n">
        <f aca="false">B12*Assumptions!B72</f>
        <v>26000</v>
      </c>
      <c r="C22" s="7" t="s">
        <v>211</v>
      </c>
    </row>
    <row r="23" customFormat="false" ht="15" hidden="false" customHeight="true" outlineLevel="0" collapsed="false">
      <c r="A23" s="5" t="s">
        <v>218</v>
      </c>
      <c r="B23" s="16" t="n">
        <f aca="false">B4*Assumptions!B76</f>
        <v>600000</v>
      </c>
      <c r="C23" s="7" t="s">
        <v>219</v>
      </c>
    </row>
    <row r="24" customFormat="false" ht="15" hidden="false" customHeight="true" outlineLevel="0" collapsed="false">
      <c r="A24" s="5" t="s">
        <v>220</v>
      </c>
      <c r="B24" s="16" t="n">
        <f aca="false">B5*Assumptions!B75</f>
        <v>3850000</v>
      </c>
      <c r="C24" s="7" t="s">
        <v>221</v>
      </c>
    </row>
    <row r="25" customFormat="false" ht="15" hidden="false" customHeight="true" outlineLevel="0" collapsed="false">
      <c r="A25" s="5" t="s">
        <v>155</v>
      </c>
      <c r="B25" s="16" t="n">
        <f aca="false">B6*Assumptions!B77</f>
        <v>1010000</v>
      </c>
      <c r="C25" s="7" t="s">
        <v>214</v>
      </c>
    </row>
    <row r="26" customFormat="false" ht="15" hidden="false" customHeight="true" outlineLevel="0" collapsed="false">
      <c r="A26" s="5" t="s">
        <v>157</v>
      </c>
      <c r="B26" s="10" t="n">
        <f aca="false">SUM(B19:B25)</f>
        <v>7925288</v>
      </c>
    </row>
    <row r="27" customFormat="false" ht="15" hidden="false" customHeight="true" outlineLevel="0" collapsed="false">
      <c r="A27" s="5" t="s">
        <v>158</v>
      </c>
      <c r="B27" s="17" t="n">
        <f aca="false">B26*Assumptions!B78</f>
        <v>792528.8</v>
      </c>
    </row>
    <row r="28" customFormat="false" ht="15" hidden="false" customHeight="true" outlineLevel="0" collapsed="false">
      <c r="A28" s="5" t="s">
        <v>159</v>
      </c>
      <c r="B28" s="10" t="n">
        <f aca="false">B26+B27</f>
        <v>8717816.8</v>
      </c>
    </row>
    <row r="30" customFormat="false" ht="15" hidden="false" customHeight="true" outlineLevel="0" collapsed="false">
      <c r="A30" s="3" t="s">
        <v>160</v>
      </c>
      <c r="B30" s="4"/>
      <c r="C30" s="4"/>
      <c r="D30" s="4"/>
      <c r="E30" s="4"/>
      <c r="F30" s="4"/>
      <c r="G30" s="4"/>
    </row>
    <row r="31" customFormat="false" ht="15" hidden="false" customHeight="true" outlineLevel="0" collapsed="false">
      <c r="A31" s="13" t="s">
        <v>161</v>
      </c>
      <c r="B31" s="18" t="s">
        <v>162</v>
      </c>
      <c r="C31" s="18" t="s">
        <v>163</v>
      </c>
      <c r="D31" s="18" t="s">
        <v>164</v>
      </c>
      <c r="E31" s="18" t="s">
        <v>165</v>
      </c>
      <c r="F31" s="18" t="s">
        <v>166</v>
      </c>
    </row>
    <row r="32" customFormat="false" ht="15" hidden="false" customHeight="true" outlineLevel="0" collapsed="false">
      <c r="A32" s="5" t="s">
        <v>167</v>
      </c>
      <c r="B32" s="19" t="n">
        <f aca="false">Assumptions!B53</f>
        <v>0.05</v>
      </c>
      <c r="C32" s="19" t="n">
        <f aca="false">Assumptions!B54</f>
        <v>0.08</v>
      </c>
      <c r="D32" s="19" t="n">
        <f aca="false">Assumptions!B55</f>
        <v>0.12</v>
      </c>
      <c r="E32" s="19" t="n">
        <f aca="false">Assumptions!B56</f>
        <v>0.16</v>
      </c>
      <c r="F32" s="19" t="n">
        <f aca="false">Assumptions!B57</f>
        <v>0.2</v>
      </c>
    </row>
    <row r="33" customFormat="false" ht="15" hidden="false" customHeight="true" outlineLevel="0" collapsed="false">
      <c r="A33" s="5" t="s">
        <v>168</v>
      </c>
      <c r="B33" s="19" t="n">
        <f aca="false">Assumptions!C53</f>
        <v>0.04</v>
      </c>
      <c r="C33" s="19" t="n">
        <f aca="false">Assumptions!C54</f>
        <v>0.07</v>
      </c>
      <c r="D33" s="19" t="n">
        <f aca="false">Assumptions!C55</f>
        <v>0.1</v>
      </c>
      <c r="E33" s="19" t="n">
        <f aca="false">Assumptions!C56</f>
        <v>0.14</v>
      </c>
      <c r="F33" s="19" t="n">
        <f aca="false">Assumptions!C57</f>
        <v>0.18</v>
      </c>
    </row>
    <row r="34" customFormat="false" ht="15" hidden="false" customHeight="true" outlineLevel="0" collapsed="false">
      <c r="A34" s="5" t="s">
        <v>169</v>
      </c>
      <c r="B34" s="8" t="n">
        <f aca="false">B13*B32</f>
        <v>310.5</v>
      </c>
      <c r="C34" s="8" t="n">
        <f aca="false">B13*C32</f>
        <v>496.8</v>
      </c>
      <c r="D34" s="8" t="n">
        <f aca="false">B13*D32</f>
        <v>745.2</v>
      </c>
      <c r="E34" s="8" t="n">
        <f aca="false">B13*E32</f>
        <v>993.6</v>
      </c>
      <c r="F34" s="8" t="n">
        <f aca="false">B13*F32</f>
        <v>1242</v>
      </c>
    </row>
    <row r="35" customFormat="false" ht="15" hidden="false" customHeight="true" outlineLevel="0" collapsed="false">
      <c r="A35" s="5" t="s">
        <v>170</v>
      </c>
      <c r="B35" s="8" t="n">
        <f aca="false">B14*B33</f>
        <v>205.44</v>
      </c>
      <c r="C35" s="8" t="n">
        <f aca="false">B14*C33</f>
        <v>359.52</v>
      </c>
      <c r="D35" s="8" t="n">
        <f aca="false">B14*D33</f>
        <v>513.6</v>
      </c>
      <c r="E35" s="8" t="n">
        <f aca="false">B14*E33</f>
        <v>719.04</v>
      </c>
      <c r="F35" s="8" t="n">
        <f aca="false">B14*F33</f>
        <v>924.48</v>
      </c>
    </row>
    <row r="36" customFormat="false" ht="15" hidden="false" customHeight="true" outlineLevel="0" collapsed="false">
      <c r="A36" s="13" t="s">
        <v>171</v>
      </c>
      <c r="B36" s="8" t="n">
        <f aca="false">B34+B35</f>
        <v>515.94</v>
      </c>
      <c r="C36" s="8" t="n">
        <f aca="false">C34+C35</f>
        <v>856.32</v>
      </c>
      <c r="D36" s="8" t="n">
        <f aca="false">D34+D35</f>
        <v>1258.8</v>
      </c>
      <c r="E36" s="8" t="n">
        <f aca="false">E34+E35</f>
        <v>1712.64</v>
      </c>
      <c r="F36" s="8" t="n">
        <f aca="false">F34+F35</f>
        <v>2166.48</v>
      </c>
    </row>
    <row r="37" customFormat="false" ht="15" hidden="false" customHeight="true" outlineLevel="0" collapsed="false">
      <c r="A37" s="13" t="s">
        <v>172</v>
      </c>
      <c r="B37" s="10" t="n">
        <f aca="false">B36*Assumptions!B49</f>
        <v>433389.6</v>
      </c>
      <c r="C37" s="10" t="n">
        <f aca="false">C36*Assumptions!B49</f>
        <v>719308.8</v>
      </c>
      <c r="D37" s="10" t="n">
        <f aca="false">D36*Assumptions!B49</f>
        <v>1057392</v>
      </c>
      <c r="E37" s="10" t="n">
        <f aca="false">E36*Assumptions!B49</f>
        <v>1438617.6</v>
      </c>
      <c r="F37" s="10" t="n">
        <f aca="false">F36*Assumptions!B49</f>
        <v>1819843.2</v>
      </c>
    </row>
    <row r="39" customFormat="false" ht="15" hidden="false" customHeight="true" outlineLevel="0" collapsed="false">
      <c r="A39" s="5" t="s">
        <v>173</v>
      </c>
      <c r="B39" s="10" t="n">
        <f aca="false">B34*Assumptions!B63</f>
        <v>218902.5</v>
      </c>
      <c r="C39" s="10" t="n">
        <f aca="false">(C34-B34)*Assumptions!B63</f>
        <v>131341.5</v>
      </c>
      <c r="D39" s="10" t="n">
        <f aca="false">(D34-C34)*Assumptions!B63</f>
        <v>175122</v>
      </c>
      <c r="E39" s="10" t="n">
        <f aca="false">(E34-D34)*Assumptions!B63</f>
        <v>175122</v>
      </c>
      <c r="F39" s="10" t="n">
        <f aca="false">(F34-E34)*Assumptions!B63</f>
        <v>175122</v>
      </c>
    </row>
    <row r="40" customFormat="false" ht="15" hidden="false" customHeight="true" outlineLevel="0" collapsed="false">
      <c r="A40" s="5" t="s">
        <v>174</v>
      </c>
      <c r="B40" s="10" t="n">
        <f aca="false">B35*Assumptions!B66</f>
        <v>71904</v>
      </c>
      <c r="C40" s="10" t="n">
        <f aca="false">(C35-B35)*Assumptions!B66</f>
        <v>53928</v>
      </c>
      <c r="D40" s="10" t="n">
        <f aca="false">(D35-C35)*Assumptions!B66</f>
        <v>53928</v>
      </c>
      <c r="E40" s="10" t="n">
        <f aca="false">(E35-D35)*Assumptions!B66</f>
        <v>71904</v>
      </c>
      <c r="F40" s="10" t="n">
        <f aca="false">(F35-E35)*Assumptions!B66</f>
        <v>71904</v>
      </c>
    </row>
    <row r="41" customFormat="false" ht="15" hidden="false" customHeight="true" outlineLevel="0" collapsed="false">
      <c r="A41" s="5" t="s">
        <v>175</v>
      </c>
      <c r="B41" s="10" t="n">
        <f aca="false">B39+B40</f>
        <v>290806.5</v>
      </c>
      <c r="C41" s="10" t="n">
        <f aca="false">C39+C40</f>
        <v>185269.5</v>
      </c>
      <c r="D41" s="10" t="n">
        <f aca="false">D39+D40</f>
        <v>229050</v>
      </c>
      <c r="E41" s="10" t="n">
        <f aca="false">E39+E40</f>
        <v>247026</v>
      </c>
      <c r="F41" s="10" t="n">
        <f aca="false">F39+F40</f>
        <v>247026</v>
      </c>
    </row>
    <row r="42" customFormat="false" ht="15" hidden="false" customHeight="true" outlineLevel="0" collapsed="false">
      <c r="A42" s="13" t="s">
        <v>176</v>
      </c>
      <c r="B42" s="10" t="n">
        <f aca="false">B28+B41</f>
        <v>9008623.3</v>
      </c>
      <c r="C42" s="10" t="n">
        <f aca="false">C41</f>
        <v>185269.5</v>
      </c>
      <c r="D42" s="10" t="n">
        <f aca="false">D41</f>
        <v>229050</v>
      </c>
      <c r="E42" s="10" t="n">
        <f aca="false">E41</f>
        <v>247026</v>
      </c>
      <c r="F42" s="10" t="n">
        <f aca="false">F41</f>
        <v>247026</v>
      </c>
    </row>
    <row r="44" customFormat="false" ht="15" hidden="false" customHeight="true" outlineLevel="0" collapsed="false">
      <c r="A44" s="3" t="s">
        <v>177</v>
      </c>
      <c r="B44" s="4"/>
      <c r="C44" s="4"/>
      <c r="D44" s="4"/>
      <c r="E44" s="4"/>
      <c r="F44" s="4"/>
      <c r="G44" s="4"/>
    </row>
    <row r="45" customFormat="false" ht="15" hidden="false" customHeight="true" outlineLevel="0" collapsed="false">
      <c r="A45" s="5" t="s">
        <v>178</v>
      </c>
      <c r="B45" s="17" t="n">
        <f aca="false">B4*Assumptions!B81+B5*Assumptions!B82</f>
        <v>894000</v>
      </c>
      <c r="C45" s="17" t="n">
        <f aca="false">B4*Assumptions!B81+B5*Assumptions!B82*(1+Assumptions!B92)^1</f>
        <v>907860</v>
      </c>
      <c r="D45" s="17" t="n">
        <f aca="false">B4*Assumptions!B81+B5*Assumptions!B82*(1+Assumptions!B92)^2</f>
        <v>922135.8</v>
      </c>
      <c r="E45" s="17" t="n">
        <f aca="false">B4*Assumptions!B81+B5*Assumptions!B82*(1+Assumptions!B92)^3</f>
        <v>936839.874</v>
      </c>
      <c r="F45" s="17" t="n">
        <f aca="false">B4*Assumptions!B81+B5*Assumptions!B82*(1+Assumptions!B92)^4</f>
        <v>951985.07022</v>
      </c>
    </row>
    <row r="46" customFormat="false" ht="15" hidden="false" customHeight="true" outlineLevel="0" collapsed="false">
      <c r="A46" s="5" t="s">
        <v>179</v>
      </c>
      <c r="B46" s="17" t="n">
        <f aca="false">B6*Assumptions!B83</f>
        <v>363600</v>
      </c>
      <c r="C46" s="17" t="n">
        <f aca="false">B6*Assumptions!B83*(1+Assumptions!B92)^1</f>
        <v>374508</v>
      </c>
      <c r="D46" s="17" t="n">
        <f aca="false">B6*Assumptions!B83*(1+Assumptions!B92)^2</f>
        <v>385743.24</v>
      </c>
      <c r="E46" s="17" t="n">
        <f aca="false">B6*Assumptions!B83*(1+Assumptions!B92)^3</f>
        <v>397315.5372</v>
      </c>
      <c r="F46" s="17" t="n">
        <f aca="false">B6*Assumptions!B83*(1+Assumptions!B92)^4</f>
        <v>409235.003316</v>
      </c>
    </row>
    <row r="47" customFormat="false" ht="15" hidden="false" customHeight="true" outlineLevel="0" collapsed="false">
      <c r="A47" s="5" t="s">
        <v>180</v>
      </c>
      <c r="B47" s="17" t="n">
        <f aca="false">Assumptions!B84</f>
        <v>180000</v>
      </c>
      <c r="C47" s="17" t="n">
        <f aca="false">Assumptions!B84*(1+Assumptions!B92)^1</f>
        <v>185400</v>
      </c>
      <c r="D47" s="17" t="n">
        <f aca="false">Assumptions!B84*(1+Assumptions!B92)^2</f>
        <v>190962</v>
      </c>
      <c r="E47" s="17" t="n">
        <f aca="false">Assumptions!B84*(1+Assumptions!B92)^3</f>
        <v>196690.86</v>
      </c>
      <c r="F47" s="17" t="n">
        <f aca="false">Assumptions!B84*(1+Assumptions!B92)^4</f>
        <v>202591.5858</v>
      </c>
    </row>
    <row r="48" customFormat="false" ht="15" hidden="false" customHeight="true" outlineLevel="0" collapsed="false">
      <c r="A48" s="5" t="s">
        <v>181</v>
      </c>
      <c r="B48" s="17" t="n">
        <f aca="false">B6*Assumptions!B85</f>
        <v>121200</v>
      </c>
      <c r="C48" s="17" t="n">
        <f aca="false">B6*Assumptions!B85*(1+Assumptions!B92)^1</f>
        <v>124836</v>
      </c>
      <c r="D48" s="17" t="n">
        <f aca="false">B6*Assumptions!B85*(1+Assumptions!B92)^2</f>
        <v>128581.08</v>
      </c>
      <c r="E48" s="17" t="n">
        <f aca="false">B6*Assumptions!B85*(1+Assumptions!B92)^3</f>
        <v>132438.5124</v>
      </c>
      <c r="F48" s="17" t="n">
        <f aca="false">B6*Assumptions!B85*(1+Assumptions!B92)^4</f>
        <v>136411.667772</v>
      </c>
    </row>
    <row r="49" customFormat="false" ht="15" hidden="false" customHeight="true" outlineLevel="0" collapsed="false">
      <c r="A49" s="5" t="s">
        <v>182</v>
      </c>
      <c r="B49" s="17" t="n">
        <f aca="false">Assumptions!B86</f>
        <v>120000</v>
      </c>
      <c r="C49" s="17" t="n">
        <f aca="false">Assumptions!B86*(1+Assumptions!B92)^1</f>
        <v>123600</v>
      </c>
      <c r="D49" s="17" t="n">
        <f aca="false">Assumptions!B86*(1+Assumptions!B92)^2</f>
        <v>127308</v>
      </c>
      <c r="E49" s="17" t="n">
        <f aca="false">Assumptions!B86*(1+Assumptions!B92)^3</f>
        <v>131127.24</v>
      </c>
      <c r="F49" s="17" t="n">
        <f aca="false">Assumptions!B86*(1+Assumptions!B92)^4</f>
        <v>135061.0572</v>
      </c>
    </row>
    <row r="50" customFormat="false" ht="15" hidden="false" customHeight="true" outlineLevel="0" collapsed="false">
      <c r="A50" s="5" t="s">
        <v>183</v>
      </c>
      <c r="B50" s="17" t="n">
        <f aca="false">B36*Assumptions!B87</f>
        <v>18573.84</v>
      </c>
      <c r="C50" s="17" t="n">
        <f aca="false">C36*Assumptions!B87</f>
        <v>30827.52</v>
      </c>
      <c r="D50" s="17" t="n">
        <f aca="false">D36*Assumptions!B87</f>
        <v>45316.8</v>
      </c>
      <c r="E50" s="17" t="n">
        <f aca="false">E36*Assumptions!B87</f>
        <v>61655.04</v>
      </c>
      <c r="F50" s="17" t="n">
        <f aca="false">F36*Assumptions!B87</f>
        <v>77993.28</v>
      </c>
    </row>
    <row r="51" customFormat="false" ht="15" hidden="false" customHeight="true" outlineLevel="0" collapsed="false">
      <c r="A51" s="5" t="s">
        <v>184</v>
      </c>
      <c r="B51" s="17" t="n">
        <f aca="false">B34*Assumptions!B88</f>
        <v>14593.5</v>
      </c>
      <c r="C51" s="17" t="n">
        <f aca="false">C34*Assumptions!B88</f>
        <v>23349.6</v>
      </c>
      <c r="D51" s="17" t="n">
        <f aca="false">D34*Assumptions!B88</f>
        <v>35024.4</v>
      </c>
      <c r="E51" s="17" t="n">
        <f aca="false">E34*Assumptions!B88</f>
        <v>46699.2</v>
      </c>
      <c r="F51" s="17" t="n">
        <f aca="false">F34*Assumptions!B88</f>
        <v>58374</v>
      </c>
    </row>
    <row r="52" customFormat="false" ht="15" hidden="false" customHeight="true" outlineLevel="0" collapsed="false">
      <c r="A52" s="5" t="s">
        <v>185</v>
      </c>
      <c r="B52" s="17" t="n">
        <f aca="false">B34*Assumptions!B89</f>
        <v>3726</v>
      </c>
      <c r="C52" s="17" t="n">
        <f aca="false">C34*Assumptions!B89</f>
        <v>5961.6</v>
      </c>
      <c r="D52" s="17" t="n">
        <f aca="false">D34*Assumptions!B89</f>
        <v>8942.4</v>
      </c>
      <c r="E52" s="17" t="n">
        <f aca="false">E34*Assumptions!B89</f>
        <v>11923.2</v>
      </c>
      <c r="F52" s="17" t="n">
        <f aca="false">F34*Assumptions!B89</f>
        <v>14904</v>
      </c>
    </row>
    <row r="53" customFormat="false" ht="15" hidden="false" customHeight="true" outlineLevel="0" collapsed="false">
      <c r="A53" s="5" t="s">
        <v>186</v>
      </c>
      <c r="B53" s="17" t="n">
        <f aca="false">Assumptions!B90</f>
        <v>48000</v>
      </c>
      <c r="C53" s="17" t="n">
        <f aca="false">Assumptions!B90*(1+Assumptions!B92)^1</f>
        <v>49440</v>
      </c>
      <c r="D53" s="17" t="n">
        <f aca="false">Assumptions!B90*(1+Assumptions!B92)^2</f>
        <v>50923.2</v>
      </c>
      <c r="E53" s="17" t="n">
        <f aca="false">Assumptions!B90*(1+Assumptions!B92)^3</f>
        <v>52450.896</v>
      </c>
      <c r="F53" s="17" t="n">
        <f aca="false">Assumptions!B90*(1+Assumptions!B92)^4</f>
        <v>54024.42288</v>
      </c>
    </row>
    <row r="54" customFormat="false" ht="15" hidden="false" customHeight="true" outlineLevel="0" collapsed="false">
      <c r="A54" s="5" t="s">
        <v>187</v>
      </c>
      <c r="B54" s="17" t="n">
        <f aca="false">B28*Assumptions!B91</f>
        <v>174356.336</v>
      </c>
      <c r="C54" s="17" t="n">
        <f aca="false">B28*Assumptions!B91</f>
        <v>174356.336</v>
      </c>
      <c r="D54" s="17" t="n">
        <f aca="false">B28*Assumptions!B91</f>
        <v>174356.336</v>
      </c>
      <c r="E54" s="17" t="n">
        <f aca="false">B28*Assumptions!B91</f>
        <v>174356.336</v>
      </c>
      <c r="F54" s="17" t="n">
        <f aca="false">B28*Assumptions!B91</f>
        <v>174356.336</v>
      </c>
    </row>
    <row r="55" customFormat="false" ht="15" hidden="false" customHeight="true" outlineLevel="0" collapsed="false">
      <c r="A55" s="13" t="s">
        <v>188</v>
      </c>
      <c r="B55" s="10" t="n">
        <f aca="false">B45+B46+B47+B48+B49+B50+B51+B52+B53+B54</f>
        <v>1938049.676</v>
      </c>
      <c r="C55" s="10" t="n">
        <f aca="false">C45+C46+C47+C48+C49+C50+C51+C52+C53+C54</f>
        <v>2000139.056</v>
      </c>
      <c r="D55" s="10" t="n">
        <f aca="false">D45+D46+D47+D48+D49+D50+D51+D52+D53+D54</f>
        <v>2069293.256</v>
      </c>
      <c r="E55" s="10" t="n">
        <f aca="false">E45+E46+E47+E48+E49+E50+E51+E52+E53+E54</f>
        <v>2141496.6956</v>
      </c>
      <c r="F55" s="10" t="n">
        <f aca="false">F45+F46+F47+F48+F49+F50+F51+F52+F53+F54</f>
        <v>2214936.423188</v>
      </c>
    </row>
    <row r="57" customFormat="false" ht="15" hidden="false" customHeight="true" outlineLevel="0" collapsed="false">
      <c r="A57" s="13" t="s">
        <v>189</v>
      </c>
      <c r="B57" s="20" t="n">
        <f aca="false">B37-B55</f>
        <v>-1504660.076</v>
      </c>
      <c r="C57" s="20" t="n">
        <f aca="false">C37-C55</f>
        <v>-1280830.256</v>
      </c>
      <c r="D57" s="20" t="n">
        <f aca="false">D37-D55</f>
        <v>-1011901.256</v>
      </c>
      <c r="E57" s="20" t="n">
        <f aca="false">E37-E55</f>
        <v>-702879.0956</v>
      </c>
      <c r="F57" s="20" t="n">
        <f aca="false">F37-F55</f>
        <v>-395093.223188</v>
      </c>
    </row>
    <row r="58" customFormat="false" ht="15" hidden="false" customHeight="true" outlineLevel="0" collapsed="false">
      <c r="A58" s="5" t="s">
        <v>190</v>
      </c>
      <c r="B58" s="21" t="n">
        <f aca="false">IF(B37=0,0,B57/B37)</f>
        <v>-3.4718416777883</v>
      </c>
      <c r="C58" s="21" t="n">
        <f aca="false">IF(C37=0,0,C57/C37)</f>
        <v>-1.7806403258239</v>
      </c>
      <c r="D58" s="21" t="n">
        <f aca="false">IF(D37=0,0,D57/D37)</f>
        <v>-0.956978354290556</v>
      </c>
      <c r="E58" s="21" t="n">
        <f aca="false">IF(E37=0,0,E57/E37)</f>
        <v>-0.488579519394174</v>
      </c>
      <c r="F58" s="21" t="n">
        <f aca="false">IF(F37=0,0,F57/F37)</f>
        <v>-0.217102892814062</v>
      </c>
    </row>
    <row r="60" customFormat="false" ht="15" hidden="false" customHeight="true" outlineLevel="0" collapsed="false">
      <c r="A60" s="3" t="s">
        <v>191</v>
      </c>
      <c r="B60" s="4"/>
      <c r="C60" s="4"/>
      <c r="D60" s="4"/>
      <c r="E60" s="4"/>
      <c r="F60" s="4"/>
      <c r="G60" s="4"/>
    </row>
    <row r="61" customFormat="false" ht="15" hidden="false" customHeight="true" outlineLevel="0" collapsed="false">
      <c r="A61" s="5" t="s">
        <v>192</v>
      </c>
      <c r="B61" s="16" t="n">
        <f aca="false">Assumptions!B36*Assumptions!B39</f>
        <v>5783033.52</v>
      </c>
      <c r="C61" s="16" t="n">
        <f aca="false">Assumptions!B36*Assumptions!B40</f>
        <v>4337275.14</v>
      </c>
      <c r="D61" s="16" t="n">
        <f aca="false">Assumptions!B36*Assumptions!B41</f>
        <v>2891516.76</v>
      </c>
      <c r="E61" s="16" t="n">
        <f aca="false">Assumptions!B36*Assumptions!B42+Assumptions!B34*Assumptions!B35</f>
        <v>3052156.58</v>
      </c>
      <c r="F61" s="9" t="n">
        <v>0</v>
      </c>
    </row>
    <row r="62" customFormat="false" ht="15" hidden="false" customHeight="true" outlineLevel="0" collapsed="false">
      <c r="A62" s="13" t="s">
        <v>193</v>
      </c>
      <c r="B62" s="20" t="n">
        <f aca="false">B57-B42+B61</f>
        <v>-4730249.856</v>
      </c>
      <c r="C62" s="20" t="n">
        <f aca="false">C57-C42+C61</f>
        <v>2871175.384</v>
      </c>
      <c r="D62" s="20" t="n">
        <f aca="false">D57-D42+D61</f>
        <v>1650565.504</v>
      </c>
      <c r="E62" s="20" t="n">
        <f aca="false">E57-E42+E61</f>
        <v>2102251.4844</v>
      </c>
      <c r="F62" s="20" t="n">
        <f aca="false">F57-F42+F61</f>
        <v>-642119.223188</v>
      </c>
    </row>
    <row r="63" customFormat="false" ht="15" hidden="false" customHeight="true" outlineLevel="0" collapsed="false">
      <c r="A63" s="5" t="s">
        <v>194</v>
      </c>
      <c r="B63" s="20" t="n">
        <f aca="false">B62</f>
        <v>-4730249.856</v>
      </c>
      <c r="C63" s="20" t="n">
        <f aca="false">B63+C62</f>
        <v>-1859074.472</v>
      </c>
      <c r="D63" s="20" t="n">
        <f aca="false">C63+D62</f>
        <v>-208508.968</v>
      </c>
      <c r="E63" s="20" t="n">
        <f aca="false">D63+E62</f>
        <v>1893742.5164</v>
      </c>
      <c r="F63" s="20" t="n">
        <f aca="false">E63+F62</f>
        <v>1251623.293212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</cols>
  <sheetData>
    <row r="1" customFormat="false" ht="17.25" hidden="false" customHeight="true" outlineLevel="0" collapsed="false">
      <c r="A1" s="2" t="s">
        <v>222</v>
      </c>
    </row>
    <row r="3" customFormat="false" ht="15" hidden="false" customHeight="true" outlineLevel="0" collapsed="false">
      <c r="A3" s="18" t="s">
        <v>161</v>
      </c>
      <c r="B3" s="18" t="s">
        <v>223</v>
      </c>
      <c r="C3" s="18" t="s">
        <v>224</v>
      </c>
      <c r="D3" s="18" t="s">
        <v>225</v>
      </c>
    </row>
    <row r="4" customFormat="false" ht="15" hidden="false" customHeight="true" outlineLevel="0" collapsed="false">
      <c r="A4" s="3" t="s">
        <v>226</v>
      </c>
      <c r="B4" s="4"/>
      <c r="C4" s="4"/>
      <c r="D4" s="4"/>
    </row>
    <row r="5" customFormat="false" ht="15" hidden="false" customHeight="true" outlineLevel="0" collapsed="false">
      <c r="A5" s="5" t="s">
        <v>196</v>
      </c>
      <c r="B5" s="15" t="n">
        <f aca="false">'Current Design'!B4</f>
        <v>40</v>
      </c>
      <c r="C5" s="15" t="n">
        <f aca="false">'Corrected Design'!B4</f>
        <v>101</v>
      </c>
      <c r="D5" s="15" t="n">
        <f aca="false">'Optimized Design'!B6</f>
        <v>101</v>
      </c>
    </row>
    <row r="6" customFormat="false" ht="15" hidden="false" customHeight="true" outlineLevel="0" collapsed="false">
      <c r="A6" s="5" t="s">
        <v>201</v>
      </c>
      <c r="B6" s="15" t="n">
        <f aca="false">'Current Design'!B5</f>
        <v>80</v>
      </c>
      <c r="C6" s="15" t="n">
        <f aca="false">'Corrected Design'!B9</f>
        <v>115</v>
      </c>
      <c r="D6" s="15" t="n">
        <f aca="false">'Optimized Design'!B11</f>
        <v>115</v>
      </c>
    </row>
    <row r="7" customFormat="false" ht="15" hidden="false" customHeight="true" outlineLevel="0" collapsed="false">
      <c r="A7" s="5" t="s">
        <v>227</v>
      </c>
      <c r="B7" s="15" t="n">
        <f aca="false">'Current Design'!B7</f>
        <v>9584</v>
      </c>
      <c r="C7" s="15" t="n">
        <f aca="false">'Corrected Design'!B13</f>
        <v>11346</v>
      </c>
      <c r="D7" s="15" t="n">
        <f aca="false">'Optimized Design'!B15</f>
        <v>11346</v>
      </c>
    </row>
    <row r="8" customFormat="false" ht="15" hidden="false" customHeight="true" outlineLevel="0" collapsed="false">
      <c r="A8" s="5" t="s">
        <v>145</v>
      </c>
      <c r="B8" s="15" t="n">
        <f aca="false">'Current Design'!B8</f>
        <v>1762</v>
      </c>
      <c r="C8" s="15" t="n">
        <f aca="false">'Corrected Design'!B14</f>
        <v>0</v>
      </c>
      <c r="D8" s="15" t="n">
        <f aca="false">'Optimized Design'!B16</f>
        <v>0</v>
      </c>
    </row>
    <row r="9" customFormat="false" ht="15" hidden="false" customHeight="true" outlineLevel="0" collapsed="false">
      <c r="A9" s="5" t="s">
        <v>228</v>
      </c>
      <c r="B9" s="19" t="n">
        <f aca="false">'Current Design'!B7/Assumptions!B4</f>
        <v>0.844702979023444</v>
      </c>
      <c r="C9" s="19" t="n">
        <f aca="false">'Corrected Design'!B13/Assumptions!B4</f>
        <v>1</v>
      </c>
      <c r="D9" s="19" t="n">
        <f aca="false">'Optimized Design'!B15/Assumptions!B4</f>
        <v>1</v>
      </c>
    </row>
    <row r="10" customFormat="false" ht="15" hidden="false" customHeight="true" outlineLevel="0" collapsed="false">
      <c r="A10" s="5" t="s">
        <v>216</v>
      </c>
      <c r="B10" s="8" t="n">
        <v>0</v>
      </c>
      <c r="C10" s="8" t="n">
        <v>0</v>
      </c>
      <c r="D10" s="15" t="n">
        <f aca="false">'Optimized Design'!B4</f>
        <v>24</v>
      </c>
    </row>
    <row r="11" customFormat="false" ht="15" hidden="false" customHeight="true" outlineLevel="0" collapsed="false">
      <c r="A11" s="5" t="s">
        <v>217</v>
      </c>
      <c r="B11" s="15" t="n">
        <f aca="false">'Current Design'!B4</f>
        <v>40</v>
      </c>
      <c r="C11" s="15" t="n">
        <f aca="false">'Corrected Design'!B4</f>
        <v>101</v>
      </c>
      <c r="D11" s="15" t="n">
        <f aca="false">'Optimized Design'!B5</f>
        <v>77</v>
      </c>
    </row>
    <row r="12" customFormat="false" ht="15" hidden="false" customHeight="true" outlineLevel="0" collapsed="false">
      <c r="A12" s="5" t="s">
        <v>229</v>
      </c>
      <c r="B12" s="8" t="n">
        <v>0</v>
      </c>
      <c r="C12" s="8" t="n">
        <v>13</v>
      </c>
      <c r="D12" s="8" t="n">
        <v>13</v>
      </c>
    </row>
    <row r="13" customFormat="false" ht="15" hidden="false" customHeight="true" outlineLevel="0" collapsed="false">
      <c r="A13" s="3" t="s">
        <v>230</v>
      </c>
      <c r="B13" s="4"/>
      <c r="C13" s="4"/>
      <c r="D13" s="4"/>
    </row>
    <row r="14" customFormat="false" ht="15" hidden="false" customHeight="true" outlineLevel="0" collapsed="false">
      <c r="A14" s="5" t="s">
        <v>231</v>
      </c>
      <c r="B14" s="17" t="n">
        <f aca="false">'Current Design'!B18</f>
        <v>2378024</v>
      </c>
      <c r="C14" s="17" t="n">
        <f aca="false">'Corrected Design'!B25</f>
        <v>9377816.8</v>
      </c>
      <c r="D14" s="17" t="n">
        <f aca="false">'Optimized Design'!B28</f>
        <v>8717816.8</v>
      </c>
    </row>
    <row r="15" customFormat="false" ht="15" hidden="false" customHeight="true" outlineLevel="0" collapsed="false">
      <c r="A15" s="5" t="s">
        <v>232</v>
      </c>
      <c r="B15" s="17" t="n">
        <f aca="false">'Current Design'!B32</f>
        <v>2715860</v>
      </c>
      <c r="C15" s="17" t="n">
        <f aca="false">'Corrected Design'!B39</f>
        <v>9668623.3</v>
      </c>
      <c r="D15" s="17" t="n">
        <f aca="false">'Optimized Design'!B42</f>
        <v>9008623.3</v>
      </c>
    </row>
    <row r="16" customFormat="false" ht="15" hidden="false" customHeight="true" outlineLevel="0" collapsed="false">
      <c r="A16" s="5" t="s">
        <v>233</v>
      </c>
      <c r="B16" s="17" t="n">
        <f aca="false">SUM('Current Design'!B32:F32)</f>
        <v>3729368</v>
      </c>
      <c r="C16" s="17" t="n">
        <f aca="false">SUM('Corrected Design'!B39:F39)</f>
        <v>10576994.8</v>
      </c>
      <c r="D16" s="17" t="n">
        <f aca="false">SUM('Optimized Design'!B42:F42)</f>
        <v>9916994.8</v>
      </c>
    </row>
    <row r="17" customFormat="false" ht="15" hidden="false" customHeight="true" outlineLevel="0" collapsed="false">
      <c r="A17" s="3" t="s">
        <v>234</v>
      </c>
      <c r="B17" s="4"/>
      <c r="C17" s="4"/>
      <c r="D17" s="4"/>
    </row>
    <row r="18" customFormat="false" ht="15" hidden="false" customHeight="true" outlineLevel="0" collapsed="false">
      <c r="A18" s="5" t="s">
        <v>235</v>
      </c>
      <c r="B18" s="17" t="n">
        <f aca="false">'Current Design'!F27</f>
        <v>1610112</v>
      </c>
      <c r="C18" s="17" t="n">
        <f aca="false">'Corrected Design'!F34</f>
        <v>1819843.2</v>
      </c>
      <c r="D18" s="17" t="n">
        <f aca="false">'Optimized Design'!F37</f>
        <v>1819843.2</v>
      </c>
    </row>
    <row r="19" customFormat="false" ht="15" hidden="false" customHeight="true" outlineLevel="0" collapsed="false">
      <c r="A19" s="5" t="s">
        <v>236</v>
      </c>
      <c r="B19" s="17" t="n">
        <f aca="false">'Current Design'!F47</f>
        <v>-37685.5806</v>
      </c>
      <c r="C19" s="17" t="n">
        <f aca="false">'Corrected Design'!F54</f>
        <v>-138366.491828</v>
      </c>
      <c r="D19" s="17" t="n">
        <f aca="false">'Optimized Design'!F57</f>
        <v>-395093.223188</v>
      </c>
    </row>
    <row r="20" customFormat="false" ht="15" hidden="false" customHeight="true" outlineLevel="0" collapsed="false">
      <c r="A20" s="5" t="s">
        <v>237</v>
      </c>
      <c r="B20" s="19" t="n">
        <f aca="false">'Current Design'!F48</f>
        <v>-0.0234055647060577</v>
      </c>
      <c r="C20" s="19" t="n">
        <f aca="false">'Corrected Design'!F55</f>
        <v>-0.0760320954178909</v>
      </c>
      <c r="D20" s="19" t="n">
        <f aca="false">'Optimized Design'!F58</f>
        <v>-0.217102892814062</v>
      </c>
    </row>
    <row r="21" customFormat="false" ht="15" hidden="false" customHeight="true" outlineLevel="0" collapsed="false">
      <c r="A21" s="5" t="s">
        <v>238</v>
      </c>
      <c r="B21" s="17" t="n">
        <f aca="false">'Current Design'!F53</f>
        <v>9762749.2794</v>
      </c>
      <c r="C21" s="17" t="n">
        <f aca="false">'Corrected Design'!F60</f>
        <v>1921107.736572</v>
      </c>
      <c r="D21" s="17" t="n">
        <f aca="false">'Optimized Design'!F63</f>
        <v>1251623.293212</v>
      </c>
    </row>
    <row r="22" customFormat="false" ht="15" hidden="false" customHeight="true" outlineLevel="0" collapsed="false">
      <c r="A22" s="5" t="s">
        <v>239</v>
      </c>
      <c r="B22" s="15" t="n">
        <f aca="false">'Current Design'!F26</f>
        <v>1916.8</v>
      </c>
      <c r="C22" s="15" t="n">
        <f aca="false">'Corrected Design'!F33</f>
        <v>2166.48</v>
      </c>
      <c r="D22" s="15" t="n">
        <f aca="false">'Optimized Design'!F36</f>
        <v>2166.48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18"/>
    <col collapsed="false" customWidth="true" hidden="false" outlineLevel="0" max="6" min="6" style="1" width="30"/>
  </cols>
  <sheetData>
    <row r="1" customFormat="false" ht="17.25" hidden="false" customHeight="true" outlineLevel="0" collapsed="false">
      <c r="A1" s="2" t="s">
        <v>240</v>
      </c>
    </row>
    <row r="3" customFormat="false" ht="15" hidden="false" customHeight="true" outlineLevel="0" collapsed="false">
      <c r="A3" s="18" t="s">
        <v>241</v>
      </c>
      <c r="B3" s="18" t="s">
        <v>223</v>
      </c>
      <c r="C3" s="18" t="s">
        <v>224</v>
      </c>
      <c r="D3" s="18" t="s">
        <v>225</v>
      </c>
      <c r="E3" s="18" t="s">
        <v>242</v>
      </c>
      <c r="F3" s="18" t="s">
        <v>243</v>
      </c>
    </row>
    <row r="4" customFormat="false" ht="15" hidden="false" customHeight="true" outlineLevel="0" collapsed="false">
      <c r="A4" s="5" t="s">
        <v>244</v>
      </c>
      <c r="B4" s="15" t="n">
        <f aca="false">Assumptions!B4</f>
        <v>11346</v>
      </c>
      <c r="C4" s="15" t="n">
        <f aca="false">Assumptions!B4</f>
        <v>11346</v>
      </c>
      <c r="D4" s="15" t="n">
        <f aca="false">Assumptions!B4</f>
        <v>11346</v>
      </c>
      <c r="E4" s="22" t="s">
        <v>245</v>
      </c>
      <c r="F4" s="5" t="s">
        <v>246</v>
      </c>
    </row>
    <row r="5" customFormat="false" ht="15" hidden="false" customHeight="true" outlineLevel="0" collapsed="false">
      <c r="A5" s="5" t="s">
        <v>227</v>
      </c>
      <c r="B5" s="15" t="n">
        <f aca="false">'Current Design'!B7</f>
        <v>9584</v>
      </c>
      <c r="C5" s="15" t="n">
        <f aca="false">'Corrected Design'!B13</f>
        <v>11346</v>
      </c>
      <c r="D5" s="15" t="n">
        <f aca="false">'Optimized Design'!B15</f>
        <v>11346</v>
      </c>
      <c r="E5" s="22" t="s">
        <v>247</v>
      </c>
      <c r="F5" s="5" t="s">
        <v>248</v>
      </c>
    </row>
    <row r="6" customFormat="false" ht="15" hidden="false" customHeight="true" outlineLevel="0" collapsed="false">
      <c r="A6" s="5" t="s">
        <v>249</v>
      </c>
      <c r="B6" s="15" t="n">
        <f aca="false">'Current Design'!B4</f>
        <v>40</v>
      </c>
      <c r="C6" s="15" t="n">
        <f aca="false">'Corrected Design'!B4</f>
        <v>101</v>
      </c>
      <c r="D6" s="15" t="n">
        <f aca="false">'Optimized Design'!B6</f>
        <v>101</v>
      </c>
      <c r="E6" s="22" t="s">
        <v>250</v>
      </c>
      <c r="F6" s="5" t="s">
        <v>248</v>
      </c>
    </row>
    <row r="7" customFormat="false" ht="15" hidden="false" customHeight="true" outlineLevel="0" collapsed="false">
      <c r="A7" s="5" t="s">
        <v>201</v>
      </c>
      <c r="B7" s="15" t="n">
        <f aca="false">'Current Design'!B5</f>
        <v>80</v>
      </c>
      <c r="C7" s="15" t="n">
        <f aca="false">'Corrected Design'!B9</f>
        <v>115</v>
      </c>
      <c r="D7" s="15" t="n">
        <f aca="false">'Optimized Design'!B11</f>
        <v>115</v>
      </c>
      <c r="E7" s="22" t="s">
        <v>251</v>
      </c>
      <c r="F7" s="5" t="s">
        <v>248</v>
      </c>
    </row>
    <row r="8" customFormat="false" ht="15" hidden="false" customHeight="true" outlineLevel="0" collapsed="false">
      <c r="A8" s="5" t="s">
        <v>229</v>
      </c>
      <c r="B8" s="23" t="s">
        <v>252</v>
      </c>
      <c r="C8" s="23" t="s">
        <v>253</v>
      </c>
      <c r="D8" s="23" t="s">
        <v>253</v>
      </c>
      <c r="E8" s="22" t="s">
        <v>254</v>
      </c>
      <c r="F8" s="5" t="s">
        <v>255</v>
      </c>
    </row>
    <row r="9" customFormat="false" ht="15" hidden="false" customHeight="true" outlineLevel="0" collapsed="false">
      <c r="A9" s="5" t="s">
        <v>199</v>
      </c>
      <c r="B9" s="23" t="s">
        <v>256</v>
      </c>
      <c r="C9" s="23" t="s">
        <v>257</v>
      </c>
      <c r="D9" s="23" t="s">
        <v>257</v>
      </c>
      <c r="E9" s="22" t="s">
        <v>258</v>
      </c>
      <c r="F9" s="5" t="s">
        <v>259</v>
      </c>
    </row>
    <row r="10" customFormat="false" ht="15" hidden="false" customHeight="true" outlineLevel="0" collapsed="false">
      <c r="A10" s="5" t="s">
        <v>200</v>
      </c>
      <c r="B10" s="23" t="s">
        <v>252</v>
      </c>
      <c r="C10" s="23" t="s">
        <v>253</v>
      </c>
      <c r="D10" s="23" t="s">
        <v>253</v>
      </c>
      <c r="E10" s="22" t="s">
        <v>258</v>
      </c>
      <c r="F10" s="5" t="s">
        <v>259</v>
      </c>
    </row>
    <row r="11" customFormat="false" ht="15" hidden="false" customHeight="true" outlineLevel="0" collapsed="false">
      <c r="A11" s="5" t="s">
        <v>260</v>
      </c>
      <c r="B11" s="23" t="s">
        <v>261</v>
      </c>
      <c r="C11" s="15" t="n">
        <f aca="false">'Corrected Design'!B11</f>
        <v>6210</v>
      </c>
      <c r="D11" s="15" t="n">
        <f aca="false">'Optimized Design'!B13</f>
        <v>6210</v>
      </c>
      <c r="E11" s="22" t="s">
        <v>262</v>
      </c>
      <c r="F11" s="5" t="s">
        <v>263</v>
      </c>
    </row>
    <row r="12" customFormat="false" ht="15" hidden="false" customHeight="true" outlineLevel="0" collapsed="false">
      <c r="A12" s="5" t="s">
        <v>264</v>
      </c>
      <c r="B12" s="23" t="s">
        <v>252</v>
      </c>
      <c r="C12" s="15" t="n">
        <f aca="false">'Corrected Design'!B12</f>
        <v>5136</v>
      </c>
      <c r="D12" s="15" t="n">
        <f aca="false">'Optimized Design'!B14</f>
        <v>5136</v>
      </c>
      <c r="E12" s="22" t="s">
        <v>265</v>
      </c>
      <c r="F12" s="5" t="s">
        <v>263</v>
      </c>
    </row>
    <row r="13" customFormat="false" ht="15" hidden="false" customHeight="true" outlineLevel="0" collapsed="false">
      <c r="A13" s="5" t="s">
        <v>266</v>
      </c>
      <c r="B13" s="15" t="n">
        <f aca="false">'Current Design'!B18</f>
        <v>2378024</v>
      </c>
      <c r="C13" s="15" t="n">
        <f aca="false">'Corrected Design'!B25</f>
        <v>9377816.8</v>
      </c>
      <c r="D13" s="15" t="n">
        <f aca="false">'Optimized Design'!B28</f>
        <v>8717816.8</v>
      </c>
      <c r="E13" s="22" t="s">
        <v>267</v>
      </c>
      <c r="F13" s="5" t="s">
        <v>268</v>
      </c>
    </row>
    <row r="14" customFormat="false" ht="15" hidden="false" customHeight="true" outlineLevel="0" collapsed="false">
      <c r="A14" s="5" t="s">
        <v>216</v>
      </c>
      <c r="B14" s="23" t="s">
        <v>252</v>
      </c>
      <c r="C14" s="23" t="s">
        <v>252</v>
      </c>
      <c r="D14" s="15" t="n">
        <f aca="false">'Optimized Design'!B4</f>
        <v>24</v>
      </c>
      <c r="E14" s="22" t="s">
        <v>269</v>
      </c>
      <c r="F14" s="5" t="s">
        <v>246</v>
      </c>
    </row>
    <row r="15" customFormat="false" ht="15" hidden="false" customHeight="true" outlineLevel="0" collapsed="false">
      <c r="A15" s="5" t="s">
        <v>217</v>
      </c>
      <c r="B15" s="15" t="n">
        <f aca="false">'Current Design'!B4</f>
        <v>40</v>
      </c>
      <c r="C15" s="15" t="n">
        <f aca="false">'Corrected Design'!B4</f>
        <v>101</v>
      </c>
      <c r="D15" s="15" t="n">
        <f aca="false">'Optimized Design'!B5</f>
        <v>77</v>
      </c>
      <c r="E15" s="22" t="s">
        <v>270</v>
      </c>
      <c r="F15" s="5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6"/>
  </cols>
  <sheetData>
    <row r="1" customFormat="false" ht="17.25" hidden="false" customHeight="true" outlineLevel="0" collapsed="false">
      <c r="A1" s="2" t="s">
        <v>272</v>
      </c>
    </row>
    <row r="2" customFormat="false" ht="15" hidden="false" customHeight="true" outlineLevel="0" collapsed="false">
      <c r="A2" s="7" t="s">
        <v>273</v>
      </c>
    </row>
    <row r="4" customFormat="false" ht="15" hidden="false" customHeight="true" outlineLevel="0" collapsed="false">
      <c r="A4" s="3" t="s">
        <v>274</v>
      </c>
      <c r="B4" s="4"/>
      <c r="C4" s="4"/>
      <c r="D4" s="4"/>
      <c r="E4" s="4"/>
    </row>
    <row r="5" customFormat="false" ht="15" hidden="false" customHeight="true" outlineLevel="0" collapsed="false">
      <c r="A5" s="18" t="s">
        <v>161</v>
      </c>
      <c r="B5" s="18" t="s">
        <v>275</v>
      </c>
      <c r="C5" s="18" t="s">
        <v>276</v>
      </c>
      <c r="D5" s="18" t="s">
        <v>277</v>
      </c>
    </row>
    <row r="6" customFormat="false" ht="15" hidden="false" customHeight="true" outlineLevel="0" collapsed="false">
      <c r="A6" s="5" t="s">
        <v>278</v>
      </c>
      <c r="B6" s="24" t="n">
        <v>0.25</v>
      </c>
      <c r="C6" s="24" t="n">
        <v>0.3</v>
      </c>
      <c r="D6" s="24" t="n">
        <v>0.35</v>
      </c>
    </row>
    <row r="7" customFormat="false" ht="15" hidden="false" customHeight="true" outlineLevel="0" collapsed="false">
      <c r="A7" s="5" t="s">
        <v>171</v>
      </c>
      <c r="B7" s="8" t="n">
        <f aca="false">Assumptions!B4*B6</f>
        <v>2836.5</v>
      </c>
      <c r="C7" s="8" t="n">
        <f aca="false">Assumptions!B4*C6</f>
        <v>3403.8</v>
      </c>
      <c r="D7" s="8" t="n">
        <f aca="false">Assumptions!B4*D6</f>
        <v>3971.1</v>
      </c>
    </row>
    <row r="8" customFormat="false" ht="15" hidden="false" customHeight="true" outlineLevel="0" collapsed="false">
      <c r="A8" s="5" t="s">
        <v>279</v>
      </c>
      <c r="B8" s="10" t="n">
        <f aca="false">B7*Assumptions!B49</f>
        <v>2382660</v>
      </c>
      <c r="C8" s="10" t="n">
        <f aca="false">C7*Assumptions!B49</f>
        <v>2859192</v>
      </c>
      <c r="D8" s="10" t="n">
        <f aca="false">D7*Assumptions!B49</f>
        <v>3335724</v>
      </c>
    </row>
    <row r="9" customFormat="false" ht="15" hidden="false" customHeight="true" outlineLevel="0" collapsed="false">
      <c r="A9" s="5" t="s">
        <v>280</v>
      </c>
      <c r="B9" s="17" t="n">
        <f aca="false">'Optimized Design'!F55</f>
        <v>2214936.423188</v>
      </c>
      <c r="C9" s="17" t="n">
        <f aca="false">'Optimized Design'!F55</f>
        <v>2214936.423188</v>
      </c>
      <c r="D9" s="17" t="n">
        <f aca="false">'Optimized Design'!F55</f>
        <v>2214936.423188</v>
      </c>
    </row>
    <row r="10" customFormat="false" ht="15" hidden="false" customHeight="true" outlineLevel="0" collapsed="false">
      <c r="A10" s="13" t="s">
        <v>281</v>
      </c>
      <c r="B10" s="20" t="n">
        <f aca="false">B6-B9</f>
        <v>-2214936.173188</v>
      </c>
      <c r="C10" s="20" t="n">
        <f aca="false">C6-C9</f>
        <v>-2214936.123188</v>
      </c>
      <c r="D10" s="20" t="n">
        <f aca="false">D6-D9</f>
        <v>-2214936.073188</v>
      </c>
    </row>
    <row r="11" customFormat="false" ht="15" hidden="false" customHeight="true" outlineLevel="0" collapsed="false">
      <c r="A11" s="5" t="s">
        <v>282</v>
      </c>
      <c r="B11" s="21" t="n">
        <f aca="false">IF(B6=0,0,B10/B6)</f>
        <v>-8859744.692752</v>
      </c>
      <c r="C11" s="21" t="n">
        <f aca="false">IF(C6=0,0,C10/C6)</f>
        <v>-7383120.41062667</v>
      </c>
      <c r="D11" s="21" t="n">
        <f aca="false">IF(D6=0,0,D10/D6)</f>
        <v>-6328388.78053714</v>
      </c>
    </row>
    <row r="14" customFormat="false" ht="15" hidden="false" customHeight="true" outlineLevel="0" collapsed="false">
      <c r="A14" s="3" t="s">
        <v>283</v>
      </c>
      <c r="B14" s="4"/>
      <c r="C14" s="4"/>
      <c r="D14" s="4"/>
    </row>
    <row r="15" customFormat="false" ht="15" hidden="false" customHeight="true" outlineLevel="0" collapsed="false">
      <c r="A15" s="18" t="s">
        <v>284</v>
      </c>
      <c r="B15" s="18" t="s">
        <v>285</v>
      </c>
      <c r="C15" s="18" t="s">
        <v>286</v>
      </c>
      <c r="D15" s="18" t="s">
        <v>287</v>
      </c>
    </row>
    <row r="16" customFormat="false" ht="15" hidden="false" customHeight="true" outlineLevel="0" collapsed="false">
      <c r="A16" s="5" t="s">
        <v>288</v>
      </c>
      <c r="B16" s="11" t="n">
        <v>0.15</v>
      </c>
      <c r="C16" s="11" t="n">
        <v>0.2</v>
      </c>
      <c r="D16" s="11" t="n">
        <v>0.25</v>
      </c>
    </row>
    <row r="17" customFormat="false" ht="15" hidden="false" customHeight="true" outlineLevel="0" collapsed="false">
      <c r="A17" s="5" t="s">
        <v>289</v>
      </c>
      <c r="B17" s="11" t="n">
        <v>0.12</v>
      </c>
      <c r="C17" s="11" t="n">
        <v>0.18</v>
      </c>
      <c r="D17" s="11" t="n">
        <v>0.22</v>
      </c>
    </row>
    <row r="18" customFormat="false" ht="15" hidden="false" customHeight="true" outlineLevel="0" collapsed="false">
      <c r="A18" s="5" t="s">
        <v>69</v>
      </c>
      <c r="B18" s="14" t="n">
        <v>65</v>
      </c>
      <c r="C18" s="14" t="n">
        <v>70</v>
      </c>
      <c r="D18" s="14" t="n">
        <v>75</v>
      </c>
    </row>
    <row r="19" customFormat="false" ht="15" hidden="false" customHeight="true" outlineLevel="0" collapsed="false">
      <c r="A19" s="5" t="s">
        <v>290</v>
      </c>
      <c r="B19" s="14" t="n">
        <v>60000</v>
      </c>
      <c r="C19" s="14" t="n">
        <v>50000</v>
      </c>
      <c r="D19" s="14" t="n">
        <v>45000</v>
      </c>
    </row>
    <row r="20" customFormat="false" ht="15" hidden="false" customHeight="true" outlineLevel="0" collapsed="false">
      <c r="A20" s="5" t="s">
        <v>291</v>
      </c>
      <c r="B20" s="11" t="n">
        <v>0.2</v>
      </c>
      <c r="C20" s="11" t="n">
        <v>0.1</v>
      </c>
      <c r="D20" s="11" t="n">
        <v>0.05</v>
      </c>
    </row>
    <row r="21" customFormat="false" ht="15" hidden="false" customHeight="true" outlineLevel="0" collapsed="false">
      <c r="A21" s="5" t="s">
        <v>292</v>
      </c>
      <c r="B21" s="12" t="n">
        <v>6</v>
      </c>
      <c r="C21" s="12" t="n">
        <v>0</v>
      </c>
      <c r="D21" s="12" t="n">
        <v>0</v>
      </c>
    </row>
    <row r="22" customFormat="false" ht="15" hidden="false" customHeight="true" outlineLevel="0" collapsed="false">
      <c r="A22" s="5" t="s">
        <v>293</v>
      </c>
      <c r="B22" s="11" t="n">
        <v>0.04</v>
      </c>
      <c r="C22" s="11" t="n">
        <v>0.03</v>
      </c>
      <c r="D22" s="11" t="n">
        <v>0.02</v>
      </c>
    </row>
    <row r="24" customFormat="false" ht="15" hidden="false" customHeight="true" outlineLevel="0" collapsed="false">
      <c r="A24" s="7" t="s">
        <v>294</v>
      </c>
    </row>
    <row r="25" customFormat="false" ht="15" hidden="false" customHeight="true" outlineLevel="0" collapsed="false">
      <c r="A25" s="7" t="s">
        <v>295</v>
      </c>
    </row>
    <row r="26" customFormat="false" ht="15" hidden="false" customHeight="true" outlineLevel="0" collapsed="false">
      <c r="A26" s="7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4" min="3" style="1" width="50"/>
  </cols>
  <sheetData>
    <row r="1" customFormat="false" ht="17.25" hidden="false" customHeight="true" outlineLevel="0" collapsed="false">
      <c r="A1" s="2" t="s">
        <v>297</v>
      </c>
    </row>
    <row r="3" customFormat="false" ht="15" hidden="false" customHeight="true" outlineLevel="0" collapsed="false">
      <c r="A3" s="25" t="s">
        <v>298</v>
      </c>
      <c r="B3" s="25" t="s">
        <v>299</v>
      </c>
      <c r="C3" s="25" t="s">
        <v>300</v>
      </c>
      <c r="D3" s="25" t="s">
        <v>301</v>
      </c>
    </row>
    <row r="4" customFormat="false" ht="45" hidden="false" customHeight="true" outlineLevel="0" collapsed="false">
      <c r="A4" s="5" t="n">
        <v>1</v>
      </c>
      <c r="B4" s="26" t="s">
        <v>302</v>
      </c>
      <c r="C4" s="26" t="s">
        <v>303</v>
      </c>
      <c r="D4" s="26" t="s">
        <v>304</v>
      </c>
    </row>
    <row r="5" customFormat="false" ht="45" hidden="false" customHeight="true" outlineLevel="0" collapsed="false">
      <c r="A5" s="5" t="n">
        <v>2</v>
      </c>
      <c r="B5" s="26" t="s">
        <v>305</v>
      </c>
      <c r="C5" s="26" t="s">
        <v>306</v>
      </c>
      <c r="D5" s="26" t="s">
        <v>307</v>
      </c>
    </row>
    <row r="6" customFormat="false" ht="45" hidden="false" customHeight="true" outlineLevel="0" collapsed="false">
      <c r="A6" s="5" t="n">
        <v>3</v>
      </c>
      <c r="B6" s="26" t="s">
        <v>308</v>
      </c>
      <c r="C6" s="26" t="s">
        <v>309</v>
      </c>
      <c r="D6" s="26" t="s">
        <v>310</v>
      </c>
    </row>
    <row r="7" customFormat="false" ht="45" hidden="false" customHeight="true" outlineLevel="0" collapsed="false">
      <c r="A7" s="5" t="n">
        <v>4</v>
      </c>
      <c r="B7" s="26" t="s">
        <v>311</v>
      </c>
      <c r="C7" s="26" t="s">
        <v>312</v>
      </c>
      <c r="D7" s="26" t="s">
        <v>313</v>
      </c>
    </row>
    <row r="8" customFormat="false" ht="45" hidden="false" customHeight="true" outlineLevel="0" collapsed="false">
      <c r="A8" s="5" t="n">
        <v>5</v>
      </c>
      <c r="B8" s="26" t="s">
        <v>314</v>
      </c>
      <c r="C8" s="26" t="s">
        <v>315</v>
      </c>
      <c r="D8" s="26" t="s">
        <v>316</v>
      </c>
    </row>
    <row r="9" customFormat="false" ht="45" hidden="false" customHeight="true" outlineLevel="0" collapsed="false">
      <c r="A9" s="5" t="n">
        <v>6</v>
      </c>
      <c r="B9" s="26" t="s">
        <v>317</v>
      </c>
      <c r="C9" s="26" t="s">
        <v>318</v>
      </c>
      <c r="D9" s="26" t="s">
        <v>319</v>
      </c>
    </row>
    <row r="10" customFormat="false" ht="45" hidden="false" customHeight="true" outlineLevel="0" collapsed="false">
      <c r="A10" s="5" t="n">
        <v>7</v>
      </c>
      <c r="B10" s="26" t="s">
        <v>320</v>
      </c>
      <c r="C10" s="26" t="s">
        <v>321</v>
      </c>
      <c r="D10" s="26" t="s">
        <v>322</v>
      </c>
    </row>
    <row r="11" customFormat="false" ht="45" hidden="false" customHeight="true" outlineLevel="0" collapsed="false">
      <c r="A11" s="5" t="n">
        <v>8</v>
      </c>
      <c r="B11" s="26" t="s">
        <v>323</v>
      </c>
      <c r="C11" s="26" t="s">
        <v>324</v>
      </c>
      <c r="D11" s="26" t="s">
        <v>325</v>
      </c>
    </row>
    <row r="12" customFormat="false" ht="45" hidden="false" customHeight="true" outlineLevel="0" collapsed="false">
      <c r="A12" s="5" t="n">
        <v>9</v>
      </c>
      <c r="B12" s="26" t="s">
        <v>326</v>
      </c>
      <c r="C12" s="26" t="s">
        <v>327</v>
      </c>
      <c r="D12" s="26" t="s">
        <v>328</v>
      </c>
    </row>
    <row r="13" customFormat="false" ht="45" hidden="false" customHeight="true" outlineLevel="0" collapsed="false">
      <c r="A13" s="5" t="n">
        <v>10</v>
      </c>
      <c r="B13" s="26" t="s">
        <v>329</v>
      </c>
      <c r="C13" s="26" t="s">
        <v>330</v>
      </c>
      <c r="D13" s="26" t="s">
        <v>331</v>
      </c>
    </row>
    <row r="14" customFormat="false" ht="45" hidden="false" customHeight="true" outlineLevel="0" collapsed="false">
      <c r="A14" s="5" t="n">
        <v>11</v>
      </c>
      <c r="B14" s="26" t="s">
        <v>332</v>
      </c>
      <c r="C14" s="26" t="s">
        <v>333</v>
      </c>
      <c r="D14" s="26" t="s">
        <v>334</v>
      </c>
    </row>
    <row r="15" customFormat="false" ht="45" hidden="false" customHeight="true" outlineLevel="0" collapsed="false">
      <c r="A15" s="5" t="n">
        <v>12</v>
      </c>
      <c r="B15" s="26" t="s">
        <v>335</v>
      </c>
      <c r="C15" s="26" t="s">
        <v>336</v>
      </c>
      <c r="D15" s="26" t="s">
        <v>337</v>
      </c>
    </row>
    <row r="16" customFormat="false" ht="45" hidden="false" customHeight="true" outlineLevel="0" collapsed="false">
      <c r="A16" s="5" t="n">
        <v>13</v>
      </c>
      <c r="B16" s="26" t="s">
        <v>338</v>
      </c>
      <c r="C16" s="26" t="s">
        <v>339</v>
      </c>
      <c r="D16" s="26" t="s">
        <v>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2026-04-04T20:03:35Z</dcterms:created>
  <dc:creator>openpyxl</dc:creator>
  <dc:description/>
  <dc:language>en-US</dc:language>
  <cp:lastModifiedBy/>
  <dcterms:modified xsi:type="dcterms:W3CDTF">2026-04-04T20:07:56Z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