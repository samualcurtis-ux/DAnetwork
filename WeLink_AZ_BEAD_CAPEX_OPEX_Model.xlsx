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urrent Design" sheetId="2" state="visible" r:id="rId2"/>
    <sheet xmlns:r="http://schemas.openxmlformats.org/officeDocument/2006/relationships" name="Corrected Design" sheetId="3" state="visible" r:id="rId3"/>
    <sheet xmlns:r="http://schemas.openxmlformats.org/officeDocument/2006/relationships" name="Optimized Design" sheetId="4" state="visible" r:id="rId4"/>
    <sheet xmlns:r="http://schemas.openxmlformats.org/officeDocument/2006/relationships" name="Neil Hybrid" sheetId="5" state="visible" r:id="rId5"/>
    <sheet xmlns:r="http://schemas.openxmlformats.org/officeDocument/2006/relationships" name="Neil Optimistic" sheetId="6" state="visible" r:id="rId6"/>
    <sheet xmlns:r="http://schemas.openxmlformats.org/officeDocument/2006/relationships" name="Comparison" sheetId="7" state="visible" r:id="rId7"/>
    <sheet xmlns:r="http://schemas.openxmlformats.org/officeDocument/2006/relationships" name="Reconciliation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Issues Found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"/>
    <numFmt numFmtId="165" formatCode="0.0%"/>
    <numFmt numFmtId="166" formatCode="\$#,##0;&quot;($&quot;#,##0\);\-"/>
    <numFmt numFmtId="167" formatCode="$#,##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0"/>
    </font>
    <font>
      <b val="1"/>
      <color rgb="00FFFFFF"/>
      <sz val="14"/>
    </font>
    <font>
      <b val="1"/>
      <color rgb="00F39C12"/>
      <sz val="11"/>
    </font>
    <font>
      <sz val="10"/>
    </font>
    <font>
      <b val="1"/>
      <sz val="10"/>
    </font>
    <font>
      <b val="1"/>
      <color rgb="00F39C12"/>
      <sz val="10"/>
    </font>
    <font>
      <i val="1"/>
      <sz val="9"/>
    </font>
    <font>
      <b val="1"/>
      <sz val="14"/>
    </font>
    <font>
      <i val="1"/>
      <color rgb="00CC0000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FFD6E4F0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00F39C12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13" fillId="5" borderId="0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3" fontId="16" fillId="0" borderId="0" pivotButton="0" quotePrefix="0" xfId="0"/>
    <xf numFmtId="167" fontId="16" fillId="0" borderId="0" pivotButton="0" quotePrefix="0" xfId="0"/>
    <xf numFmtId="3" fontId="17" fillId="0" borderId="0" pivotButton="0" quotePrefix="0" xfId="0"/>
    <xf numFmtId="167" fontId="17" fillId="0" borderId="0" pivotButton="0" quotePrefix="0" xfId="0"/>
    <xf numFmtId="0" fontId="18" fillId="0" borderId="0" pivotButton="0" quotePrefix="0" xfId="0"/>
    <xf numFmtId="49" fontId="6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3" fontId="2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E67E22"/>
      <rgbColor rgb="FFFF6600"/>
      <rgbColor rgb="FF666666"/>
      <rgbColor rgb="FF969696"/>
      <rgbColor rgb="FF003366"/>
      <rgbColor rgb="FF27AE6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D9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27" min="1" max="1"/>
    <col width="16" customWidth="1" style="27" min="2" max="2"/>
    <col width="40" customWidth="1" style="27" min="3" max="3"/>
    <col width="16" customWidth="1" style="27" min="4" max="4"/>
  </cols>
  <sheetData>
    <row r="1" ht="17.25" customHeight="1" s="28">
      <c r="A1" s="29" t="inlineStr">
        <is>
          <t>WeLink Arizona BEAD Model - Assumptions</t>
        </is>
      </c>
    </row>
    <row r="3" ht="15" customHeight="1" s="28">
      <c r="A3" s="30" t="inlineStr">
        <is>
          <t>NETWORK DESIGN</t>
        </is>
      </c>
      <c r="B3" s="31" t="n"/>
      <c r="C3" s="31" t="n"/>
      <c r="D3" s="31" t="n"/>
    </row>
    <row r="4" ht="15" customHeight="1" s="28">
      <c r="A4" s="32" t="inlineStr">
        <is>
          <t>Total BSLs (BEAD Obligation)</t>
        </is>
      </c>
      <c r="B4" s="33" t="n">
        <v>11346</v>
      </c>
      <c r="C4" s="34" t="inlineStr">
        <is>
          <t>Source: AZ BEAD award, P4+P5 combined</t>
        </is>
      </c>
    </row>
    <row r="5" ht="15" customHeight="1" s="28">
      <c r="A5" s="32" t="inlineStr">
        <is>
          <t>BSLs Served by Tarana G2 Direct</t>
        </is>
      </c>
      <c r="B5" s="33" t="n">
        <v>6210</v>
      </c>
      <c r="C5" s="34" t="inlineStr">
        <is>
          <t>From map clustering analysis</t>
        </is>
      </c>
    </row>
    <row r="6" ht="15" customHeight="1" s="28">
      <c r="A6" s="32" t="inlineStr">
        <is>
          <t>BSLs Served by Ketsen Mesh</t>
        </is>
      </c>
      <c r="B6" s="33" t="n">
        <v>5136</v>
      </c>
      <c r="C6" s="34" t="inlineStr">
        <is>
          <t>From map clustering analysis</t>
        </is>
      </c>
    </row>
    <row r="7" ht="15" customHeight="1" s="28">
      <c r="A7" s="32" t="inlineStr">
        <is>
          <t>Check: Total BSLs</t>
        </is>
      </c>
      <c r="B7" s="35">
        <f>B5+B6</f>
        <v/>
      </c>
      <c r="C7" s="34" t="inlineStr">
        <is>
          <t>Must equal B4</t>
        </is>
      </c>
    </row>
    <row r="9" ht="15" customHeight="1" s="28">
      <c r="A9" s="30" t="inlineStr">
        <is>
          <t>SITE COUNTS BY SCENARIO</t>
        </is>
      </c>
      <c r="B9" s="31" t="n"/>
      <c r="C9" s="31" t="n"/>
      <c r="D9" s="31" t="n"/>
    </row>
    <row r="10" ht="15" customHeight="1" s="28">
      <c r="A10" s="32" t="inlineStr">
        <is>
          <t>Current Design - Tower Sites</t>
        </is>
      </c>
      <c r="B10" s="33" t="n">
        <v>40</v>
      </c>
      <c r="C10" s="34" t="inlineStr">
        <is>
          <t>Existing WeLink AZ footprint</t>
        </is>
      </c>
    </row>
    <row r="11" ht="15" customHeight="1" s="28">
      <c r="A11" s="32" t="inlineStr">
        <is>
          <t>Current Design - Tarana Sectors</t>
        </is>
      </c>
      <c r="B11" s="33" t="n">
        <v>80</v>
      </c>
      <c r="C11" s="34" t="inlineStr">
        <is>
          <t>2 sectors/site avg</t>
        </is>
      </c>
    </row>
    <row r="12" ht="15" customHeight="1" s="28">
      <c r="A12" s="32" t="inlineStr">
        <is>
          <t>Current Design - Ketsen Sectors</t>
        </is>
      </c>
      <c r="B12" s="33" t="n">
        <v>12</v>
      </c>
      <c r="C12" s="34" t="inlineStr">
        <is>
          <t>From original project plan Exec Summ</t>
        </is>
      </c>
    </row>
    <row r="13" ht="15" customHeight="1" s="28">
      <c r="A13" s="32" t="inlineStr">
        <is>
          <t>Current Design - BSLs Covered</t>
        </is>
      </c>
      <c r="B13" s="33" t="n">
        <v>9584</v>
      </c>
      <c r="C13" s="34" t="inlineStr">
        <is>
          <t>84.5% of obligation</t>
        </is>
      </c>
    </row>
    <row r="15" ht="15" customHeight="1" s="28">
      <c r="A15" s="32" t="inlineStr">
        <is>
          <t>Corrected Design - Total Sites</t>
        </is>
      </c>
      <c r="B15" s="33" t="n">
        <v>101</v>
      </c>
      <c r="C15" s="34" t="inlineStr">
        <is>
          <t>Full coverage requires 101</t>
        </is>
      </c>
    </row>
    <row r="16" ht="15" customHeight="1" s="28">
      <c r="A16" s="32" t="inlineStr">
        <is>
          <t>Corrected Design - Tarana G2 Sites</t>
        </is>
      </c>
      <c r="B16" s="33" t="n">
        <v>88</v>
      </c>
      <c r="C16" s="34" t="inlineStr">
        <is>
          <t>Multi-sector Tarana access</t>
        </is>
      </c>
    </row>
    <row r="17" ht="15" customHeight="1" s="28">
      <c r="A17" s="32" t="inlineStr">
        <is>
          <t>Corrected Design - Ketsen Mesh Sites</t>
        </is>
      </c>
      <c r="B17" s="33" t="n">
        <v>13</v>
      </c>
      <c r="C17" s="34" t="inlineStr">
        <is>
          <t>Dense BSL cluster sites</t>
        </is>
      </c>
    </row>
    <row r="18" ht="15" customHeight="1" s="28">
      <c r="A18" s="32" t="inlineStr">
        <is>
          <t>Corrected Design - Tarana G2 Access Sectors</t>
        </is>
      </c>
      <c r="B18" s="33" t="n">
        <v>102</v>
      </c>
      <c r="C18" s="34" t="inlineStr">
        <is>
          <t>88 sites, avg ~1.16 sectors (multi-sector)</t>
        </is>
      </c>
    </row>
    <row r="19" ht="15" customHeight="1" s="28">
      <c r="A19" s="32" t="inlineStr">
        <is>
          <t>Corrected Design - Tarana P2P BH Sectors</t>
        </is>
      </c>
      <c r="B19" s="33" t="n">
        <v>13</v>
      </c>
      <c r="C19" s="34" t="inlineStr">
        <is>
          <t>1 BH sector per Ketsen site</t>
        </is>
      </c>
    </row>
    <row r="20" ht="15" customHeight="1" s="28">
      <c r="A20" s="32" t="inlineStr">
        <is>
          <t>Corrected Design - Total Sectors</t>
        </is>
      </c>
      <c r="B20" s="33" t="n">
        <v>115</v>
      </c>
      <c r="C20" s="34" t="inlineStr">
        <is>
          <t>102 access + 13 P2P BH</t>
        </is>
      </c>
    </row>
    <row r="21" ht="15" customHeight="1" s="28">
      <c r="A21" s="32" t="inlineStr">
        <is>
          <t>Corrected Design - Ketsen Gateways</t>
        </is>
      </c>
      <c r="B21" s="33" t="n">
        <v>13</v>
      </c>
      <c r="C21" s="34" t="inlineStr">
        <is>
          <t>1 per Ketsen cluster site</t>
        </is>
      </c>
    </row>
    <row r="23" ht="15" customHeight="1" s="28">
      <c r="A23" s="32" t="inlineStr">
        <is>
          <t>Optimized Design - Colocation Sites</t>
        </is>
      </c>
      <c r="B23" s="33" t="n">
        <v>24</v>
      </c>
      <c r="C23" s="34" t="inlineStr">
        <is>
          <t>DA + EarthLink towers</t>
        </is>
      </c>
    </row>
    <row r="24" ht="15" customHeight="1" s="28">
      <c r="A24" s="32" t="inlineStr">
        <is>
          <t>Optimized Design - New Build Sites</t>
        </is>
      </c>
      <c r="B24" s="33" t="n">
        <v>77</v>
      </c>
      <c r="C24" s="34" t="inlineStr">
        <is>
          <t>Short monopoles</t>
        </is>
      </c>
    </row>
    <row r="25" ht="15" customHeight="1" s="28">
      <c r="A25" s="32" t="inlineStr">
        <is>
          <t>Optimized Design - Total Sites</t>
        </is>
      </c>
      <c r="B25" s="33" t="n">
        <v>101</v>
      </c>
      <c r="C25" s="34">
        <f>24+77</f>
        <v/>
      </c>
    </row>
    <row r="26" ht="15" customHeight="1" s="28">
      <c r="A26" s="32" t="inlineStr">
        <is>
          <t>Optimized Design - Tarana G2 Sites</t>
        </is>
      </c>
      <c r="B26" s="33" t="n">
        <v>88</v>
      </c>
      <c r="C26" s="34" t="inlineStr">
        <is>
          <t>Same arch as Corrected</t>
        </is>
      </c>
    </row>
    <row r="27" ht="15" customHeight="1" s="28">
      <c r="A27" s="32" t="inlineStr">
        <is>
          <t>Optimized Design - Ketsen Mesh Sites</t>
        </is>
      </c>
      <c r="B27" s="33" t="n">
        <v>13</v>
      </c>
      <c r="C27" s="34" t="inlineStr">
        <is>
          <t>Same arch as Corrected</t>
        </is>
      </c>
    </row>
    <row r="28" ht="15" customHeight="1" s="28">
      <c r="A28" s="32" t="inlineStr">
        <is>
          <t>Optimized Design - Total Sectors</t>
        </is>
      </c>
      <c r="B28" s="33" t="n">
        <v>115</v>
      </c>
      <c r="C28" s="34" t="inlineStr">
        <is>
          <t>Same as Corrected</t>
        </is>
      </c>
    </row>
    <row r="29" ht="15" customHeight="1" s="28">
      <c r="A29" s="32" t="inlineStr">
        <is>
          <t>Optimized Design - Ketsen Gateways</t>
        </is>
      </c>
      <c r="B29" s="33" t="n">
        <v>13</v>
      </c>
      <c r="C29" s="34" t="inlineStr">
        <is>
          <t>Same as Corrected</t>
        </is>
      </c>
    </row>
    <row r="31" ht="15" customHeight="1" s="28">
      <c r="A31" s="30" t="inlineStr">
        <is>
          <t>BEAD AWARD</t>
        </is>
      </c>
      <c r="B31" s="31" t="n"/>
      <c r="C31" s="31" t="n"/>
      <c r="D31" s="31" t="n"/>
    </row>
    <row r="32" ht="15" customHeight="1" s="28">
      <c r="A32" s="32" t="inlineStr">
        <is>
          <t>BEAD Award - P4</t>
        </is>
      </c>
      <c r="B32" s="36" t="n">
        <v>11039630</v>
      </c>
      <c r="C32" s="34" t="inlineStr">
        <is>
          <t>Source: AZ BEAD disbursement schedule</t>
        </is>
      </c>
    </row>
    <row r="33" ht="15" customHeight="1" s="28">
      <c r="A33" s="32" t="inlineStr">
        <is>
          <t>BEAD Award - P5</t>
        </is>
      </c>
      <c r="B33" s="36" t="n">
        <v>5024352</v>
      </c>
      <c r="C33" s="34" t="inlineStr">
        <is>
          <t>Source: AZ BEAD disbursement schedule</t>
        </is>
      </c>
    </row>
    <row r="34" ht="15" customHeight="1" s="28">
      <c r="A34" s="32" t="inlineStr">
        <is>
          <t>Total BEAD Funding</t>
        </is>
      </c>
      <c r="B34" s="37">
        <f>B32+B33</f>
        <v/>
      </c>
      <c r="C34" s="34" t="inlineStr">
        <is>
          <t>Formula</t>
        </is>
      </c>
    </row>
    <row r="35" ht="15" customHeight="1" s="28">
      <c r="A35" s="32" t="inlineStr">
        <is>
          <t>Retainage / Holdback (%)</t>
        </is>
      </c>
      <c r="B35" s="38" t="n">
        <v>0.1</v>
      </c>
      <c r="C35" s="34" t="inlineStr">
        <is>
          <t>Assume 10% until final closeout</t>
        </is>
      </c>
    </row>
    <row r="36" ht="15" customHeight="1" s="28">
      <c r="A36" s="32" t="inlineStr">
        <is>
          <t>Net BEAD Available at Draw</t>
        </is>
      </c>
      <c r="B36" s="37">
        <f>B34*(1-B35)</f>
        <v/>
      </c>
      <c r="C36" s="34" t="inlineStr">
        <is>
          <t>Total less retainage</t>
        </is>
      </c>
    </row>
    <row r="38" ht="15" customHeight="1" s="28">
      <c r="A38" s="30" t="inlineStr">
        <is>
          <t>BEAD DRAW TIMING</t>
        </is>
      </c>
      <c r="B38" s="31" t="n"/>
      <c r="C38" s="31" t="n"/>
      <c r="D38" s="31" t="n"/>
    </row>
    <row r="39" ht="15" customHeight="1" s="28">
      <c r="A39" s="32" t="inlineStr">
        <is>
          <t>Year 1 Draw (% of net)</t>
        </is>
      </c>
      <c r="B39" s="38" t="n">
        <v>0.4</v>
      </c>
      <c r="C39" s="34" t="inlineStr">
        <is>
          <t>First 40% at milestones 5%+15%+20%</t>
        </is>
      </c>
    </row>
    <row r="40" ht="15" customHeight="1" s="28">
      <c r="A40" s="32" t="inlineStr">
        <is>
          <t>Year 2 Draw (% of net)</t>
        </is>
      </c>
      <c r="B40" s="38" t="n">
        <v>0.3</v>
      </c>
      <c r="C40" s="34" t="inlineStr">
        <is>
          <t>15%+15% milestones</t>
        </is>
      </c>
    </row>
    <row r="41" ht="15" customHeight="1" s="28">
      <c r="A41" s="32" t="inlineStr">
        <is>
          <t>Year 3 Draw (% of net)</t>
        </is>
      </c>
      <c r="B41" s="38" t="n">
        <v>0.2</v>
      </c>
      <c r="C41" s="34" t="inlineStr">
        <is>
          <t>15%+5% milestones</t>
        </is>
      </c>
    </row>
    <row r="42" ht="15" customHeight="1" s="28">
      <c r="A42" s="32" t="inlineStr">
        <is>
          <t>Year 4 Draw (% of net)</t>
        </is>
      </c>
      <c r="B42" s="38" t="n">
        <v>0.1</v>
      </c>
      <c r="C42" s="34" t="inlineStr">
        <is>
          <t>Final closeout + retainage release</t>
        </is>
      </c>
    </row>
    <row r="43" ht="15" customHeight="1" s="28">
      <c r="A43" s="32" t="inlineStr">
        <is>
          <t>Construction Duration (months)</t>
        </is>
      </c>
      <c r="B43" s="39" t="n">
        <v>30</v>
      </c>
      <c r="C43" s="34" t="inlineStr">
        <is>
          <t>~2.5 years from subgrant execution</t>
        </is>
      </c>
    </row>
    <row r="44" ht="15" customHeight="1" s="28">
      <c r="A44" s="32" t="inlineStr">
        <is>
          <t>Permitting Lead Time (months)</t>
        </is>
      </c>
      <c r="B44" s="39" t="n">
        <v>6</v>
      </c>
      <c r="C44" s="34" t="inlineStr">
        <is>
          <t>App, design, NEPA</t>
        </is>
      </c>
    </row>
    <row r="45" ht="15" customHeight="1" s="28">
      <c r="A45" s="32" t="inlineStr">
        <is>
          <t>Contingency Months</t>
        </is>
      </c>
      <c r="B45" s="39" t="n">
        <v>3</v>
      </c>
      <c r="C45" s="34" t="inlineStr">
        <is>
          <t>Weather, supply chain, utility delays</t>
        </is>
      </c>
    </row>
    <row r="47" ht="15" customHeight="1" s="28">
      <c r="A47" s="30" t="inlineStr">
        <is>
          <t>SUBSCRIBER ECONOMICS</t>
        </is>
      </c>
      <c r="B47" s="31" t="n"/>
      <c r="C47" s="31" t="n"/>
      <c r="D47" s="31" t="n"/>
    </row>
    <row r="48" ht="15" customHeight="1" s="28">
      <c r="A48" s="32" t="inlineStr">
        <is>
          <t>Monthly ARPU</t>
        </is>
      </c>
      <c r="B48" s="36" t="n">
        <v>70</v>
      </c>
      <c r="C48" s="34" t="inlineStr">
        <is>
          <t>$/month - verify against WeLink AZ pricing</t>
        </is>
      </c>
    </row>
    <row r="49" ht="15" customHeight="1" s="28">
      <c r="A49" s="32" t="inlineStr">
        <is>
          <t>Annual ARPU</t>
        </is>
      </c>
      <c r="B49" s="37">
        <f>B48*12</f>
        <v/>
      </c>
      <c r="C49" s="34" t="inlineStr">
        <is>
          <t>Formula: Monthly * 12</t>
        </is>
      </c>
    </row>
    <row r="51" ht="15" customHeight="1" s="28">
      <c r="A51" s="30" t="inlineStr">
        <is>
          <t>TAKE RATE SCHEDULE</t>
        </is>
      </c>
      <c r="B51" s="31" t="n"/>
      <c r="C51" s="31" t="n"/>
      <c r="D51" s="31" t="n"/>
    </row>
    <row r="52" ht="15" customHeight="1" s="28">
      <c r="A52" s="40" t="n"/>
      <c r="B52" s="40" t="inlineStr">
        <is>
          <t>Tarana FWA</t>
        </is>
      </c>
      <c r="C52" s="40" t="inlineStr">
        <is>
          <t>Ketsen Mesh</t>
        </is>
      </c>
      <c r="D52" s="40" t="inlineStr">
        <is>
          <t>Notes</t>
        </is>
      </c>
    </row>
    <row r="53" ht="15" customHeight="1" s="28">
      <c r="A53" s="32" t="inlineStr">
        <is>
          <t>Year 1 Take Rate</t>
        </is>
      </c>
      <c r="B53" s="38" t="n">
        <v>0.05</v>
      </c>
      <c r="C53" s="38" t="n">
        <v>0.04</v>
      </c>
      <c r="D53" s="34" t="inlineStr">
        <is>
          <t>Ketsen areas: lower density, likely slower adoption</t>
        </is>
      </c>
    </row>
    <row r="54" ht="15" customHeight="1" s="28">
      <c r="A54" s="32" t="inlineStr">
        <is>
          <t>Year 2 Take Rate</t>
        </is>
      </c>
      <c r="B54" s="38" t="n">
        <v>0.08</v>
      </c>
      <c r="C54" s="38" t="n">
        <v>0.07000000000000001</v>
      </c>
    </row>
    <row r="55" ht="15" customHeight="1" s="28">
      <c r="A55" s="32" t="inlineStr">
        <is>
          <t>Year 3 Take Rate</t>
        </is>
      </c>
      <c r="B55" s="38" t="n">
        <v>0.12</v>
      </c>
      <c r="C55" s="38" t="n">
        <v>0.1</v>
      </c>
    </row>
    <row r="56" ht="15" customHeight="1" s="28">
      <c r="A56" s="32" t="inlineStr">
        <is>
          <t>Year 4 Take Rate</t>
        </is>
      </c>
      <c r="B56" s="38" t="n">
        <v>0.16</v>
      </c>
      <c r="C56" s="38" t="n">
        <v>0.14</v>
      </c>
    </row>
    <row r="57" ht="15" customHeight="1" s="28">
      <c r="A57" s="32" t="inlineStr">
        <is>
          <t>Year 5 Take Rate</t>
        </is>
      </c>
      <c r="B57" s="38" t="n">
        <v>0.2</v>
      </c>
      <c r="C57" s="38" t="n">
        <v>0.18</v>
      </c>
    </row>
    <row r="59" ht="15" customHeight="1" s="28">
      <c r="A59" s="30" t="inlineStr">
        <is>
          <t>CPE CAPEX</t>
        </is>
      </c>
      <c r="B59" s="31" t="n"/>
      <c r="C59" s="31" t="n"/>
      <c r="D59" s="31" t="n"/>
    </row>
    <row r="60" ht="15" customHeight="1" s="28">
      <c r="A60" s="32" t="inlineStr">
        <is>
          <t>Tarana G2 RNv (CPE radio)</t>
        </is>
      </c>
      <c r="B60" s="41" t="n">
        <v>455</v>
      </c>
      <c r="C60" s="34" t="inlineStr">
        <is>
          <t>Source: Site Level Inputs, 6GHz RNv</t>
        </is>
      </c>
    </row>
    <row r="61" ht="15" customHeight="1" s="28">
      <c r="A61" s="32" t="inlineStr">
        <is>
          <t>BW Unlock per RN</t>
        </is>
      </c>
      <c r="B61" s="41" t="n">
        <v>100</v>
      </c>
      <c r="C61" s="34" t="inlineStr">
        <is>
          <t>Source: RN cost sheet</t>
        </is>
      </c>
    </row>
    <row r="62" ht="15" customHeight="1" s="28">
      <c r="A62" s="32" t="inlineStr">
        <is>
          <t>Installation Labor</t>
        </is>
      </c>
      <c r="B62" s="41" t="n">
        <v>150</v>
      </c>
      <c r="C62" s="34" t="inlineStr">
        <is>
          <t>Source: RN cost sheet</t>
        </is>
      </c>
    </row>
    <row r="63" ht="15" customHeight="1" s="28">
      <c r="A63" s="32" t="inlineStr">
        <is>
          <t>Total Tarana CPE CAPEX</t>
        </is>
      </c>
      <c r="B63" s="37">
        <f>B60+B61+B62</f>
        <v/>
      </c>
      <c r="C63" s="34" t="inlineStr">
        <is>
          <t>Formula</t>
        </is>
      </c>
    </row>
    <row r="64" ht="15" customHeight="1" s="28">
      <c r="A64" s="32" t="inlineStr">
        <is>
          <t>Ketsen CPE (mesh node)</t>
        </is>
      </c>
      <c r="B64" s="41" t="n">
        <v>250</v>
      </c>
      <c r="C64" s="34" t="inlineStr">
        <is>
          <t>Estimate - Ketsen mesh CPE lower cost than Tarana RN</t>
        </is>
      </c>
    </row>
    <row r="65" ht="15" customHeight="1" s="28">
      <c r="A65" s="32" t="inlineStr">
        <is>
          <t>Ketsen Installation Labor</t>
        </is>
      </c>
      <c r="B65" s="41" t="n">
        <v>100</v>
      </c>
      <c r="C65" s="34" t="inlineStr">
        <is>
          <t>Simpler rooftop install</t>
        </is>
      </c>
    </row>
    <row r="66" ht="15" customHeight="1" s="28">
      <c r="A66" s="32" t="inlineStr">
        <is>
          <t>Total Ketsen CPE CAPEX</t>
        </is>
      </c>
      <c r="B66" s="37">
        <f>B64+B65</f>
        <v/>
      </c>
      <c r="C66" s="34" t="inlineStr">
        <is>
          <t>Formula</t>
        </is>
      </c>
    </row>
    <row r="68" ht="15" customHeight="1" s="28">
      <c r="A68" s="30" t="inlineStr">
        <is>
          <t>SECTOR &amp; SITE EQUIPMENT CAPEX</t>
        </is>
      </c>
      <c r="B68" s="31" t="n"/>
      <c r="C68" s="31" t="n"/>
      <c r="D68" s="31" t="n"/>
    </row>
    <row r="69" ht="15" customHeight="1" s="28">
      <c r="A69" s="32" t="inlineStr">
        <is>
          <t>Tarana G2 BN (per sector)</t>
        </is>
      </c>
      <c r="B69" s="36" t="n">
        <v>21000</v>
      </c>
      <c r="C69" s="34" t="inlineStr">
        <is>
          <t>Source: Site Level Inputs, G2 BN</t>
        </is>
      </c>
    </row>
    <row r="70" ht="15" customHeight="1" s="28">
      <c r="A70" s="32" t="inlineStr">
        <is>
          <t>Per-Site Accessories (mount, cables, power)</t>
        </is>
      </c>
      <c r="B70" s="36" t="n">
        <v>1446</v>
      </c>
      <c r="C70" s="34" t="inlineStr">
        <is>
          <t>Source: Site Level Inputs, sum of per-site items</t>
        </is>
      </c>
    </row>
    <row r="71" ht="15" customHeight="1" s="28">
      <c r="A71" s="32" t="inlineStr">
        <is>
          <t>Tarana P2P BH Radio (per sector)</t>
        </is>
      </c>
      <c r="B71" s="36" t="n">
        <v>11634</v>
      </c>
      <c r="C71" s="34" t="inlineStr">
        <is>
          <t>Source: Site Level Inputs, 6GHz BN for P2P link</t>
        </is>
      </c>
    </row>
    <row r="72" ht="15" customHeight="1" s="28">
      <c r="A72" s="32" t="inlineStr">
        <is>
          <t>Ketsen Gateway (per cluster site)</t>
        </is>
      </c>
      <c r="B72" s="36" t="n">
        <v>2000</v>
      </c>
      <c r="C72" s="34" t="inlineStr">
        <is>
          <t>Source: Site Level Inputs, Ketsen line item</t>
        </is>
      </c>
    </row>
    <row r="74" ht="15" customHeight="1" s="28">
      <c r="A74" s="30" t="inlineStr">
        <is>
          <t>TOWER INFRASTRUCTURE CAPEX</t>
        </is>
      </c>
      <c r="B74" s="31" t="n"/>
      <c r="C74" s="31" t="n"/>
      <c r="D74" s="31" t="n"/>
    </row>
    <row r="75" ht="15" customHeight="1" s="28">
      <c r="A75" s="32" t="inlineStr">
        <is>
          <t>New Tower Build (short monopole)</t>
        </is>
      </c>
      <c r="B75" s="41" t="n">
        <v>50000</v>
      </c>
      <c r="C75" s="34" t="inlineStr">
        <is>
          <t>Revised from $150K - short monopole for Tarana P2P</t>
        </is>
      </c>
    </row>
    <row r="76" ht="15" customHeight="1" s="28">
      <c r="A76" s="32" t="inlineStr">
        <is>
          <t>Colocation Setup (one-time)</t>
        </is>
      </c>
      <c r="B76" s="41" t="n">
        <v>25000</v>
      </c>
      <c r="C76" s="34" t="inlineStr">
        <is>
          <t>$/site - structural, power, fiber prep</t>
        </is>
      </c>
    </row>
    <row r="77" ht="15" customHeight="1" s="28">
      <c r="A77" s="32" t="inlineStr">
        <is>
          <t>Site Make-Ready / Power</t>
        </is>
      </c>
      <c r="B77" s="41" t="n">
        <v>10000</v>
      </c>
      <c r="C77" s="34" t="inlineStr">
        <is>
          <t>$/site - electrical, grounding, meter</t>
        </is>
      </c>
    </row>
    <row r="78" ht="15" customHeight="1" s="28">
      <c r="A78" s="32" t="inlineStr">
        <is>
          <t>CAPEX Contingency (%)</t>
        </is>
      </c>
      <c r="B78" s="38" t="n">
        <v>0.1</v>
      </c>
      <c r="C78" s="34" t="inlineStr">
        <is>
          <t>Permitting, weather, supply chain risk</t>
        </is>
      </c>
    </row>
    <row r="80" ht="15" customHeight="1" s="28">
      <c r="A80" s="30" t="inlineStr">
        <is>
          <t>OPERATING EXPENSES (ANNUAL)</t>
        </is>
      </c>
      <c r="B80" s="31" t="n"/>
      <c r="C80" s="31" t="n"/>
      <c r="D80" s="31" t="n"/>
    </row>
    <row r="81" ht="15" customHeight="1" s="28">
      <c r="A81" s="32" t="inlineStr">
        <is>
          <t>Colocation Tower Lease ($/site/yr)</t>
        </is>
      </c>
      <c r="B81" s="41" t="n">
        <v>18000</v>
      </c>
      <c r="C81" s="34" t="inlineStr">
        <is>
          <t>Typical AZ coloc lease</t>
        </is>
      </c>
    </row>
    <row r="82" ht="15" customHeight="1" s="28">
      <c r="A82" s="32" t="inlineStr">
        <is>
          <t>New Tower Lease / Land ($/site/yr)</t>
        </is>
      </c>
      <c r="B82" s="41" t="n">
        <v>6000</v>
      </c>
      <c r="C82" s="34" t="inlineStr">
        <is>
          <t>Ground lease for owned monopole</t>
        </is>
      </c>
    </row>
    <row r="83" ht="15" customHeight="1" s="28">
      <c r="A83" s="32" t="inlineStr">
        <is>
          <t>Tower Power ($/site/yr)</t>
        </is>
      </c>
      <c r="B83" s="41" t="n">
        <v>3600</v>
      </c>
      <c r="C83" s="34" t="inlineStr">
        <is>
          <t>Avg $300/mo utility</t>
        </is>
      </c>
    </row>
    <row r="84" ht="15" customHeight="1" s="28">
      <c r="A84" s="32" t="inlineStr">
        <is>
          <t>NOC / Network Ops (fixed annual)</t>
        </is>
      </c>
      <c r="B84" s="41" t="n">
        <v>180000</v>
      </c>
      <c r="C84" s="34" t="inlineStr">
        <is>
          <t>Staffing, monitoring, tools</t>
        </is>
      </c>
    </row>
    <row r="85" ht="15" customHeight="1" s="28">
      <c r="A85" s="32" t="inlineStr">
        <is>
          <t>Transport / Backhaul Recurring ($/site/yr)</t>
        </is>
      </c>
      <c r="B85" s="41" t="n">
        <v>1200</v>
      </c>
      <c r="C85" s="34" t="inlineStr">
        <is>
          <t>Fiber or microwave transport per site</t>
        </is>
      </c>
    </row>
    <row r="86" ht="15" customHeight="1" s="28">
      <c r="A86" s="32" t="inlineStr">
        <is>
          <t>Field Maintenance / Truck Rolls ($/yr)</t>
        </is>
      </c>
      <c r="B86" s="41" t="n">
        <v>120000</v>
      </c>
      <c r="C86" s="34" t="inlineStr">
        <is>
          <t>Technician labor + vehicle</t>
        </is>
      </c>
    </row>
    <row r="87" ht="15" customHeight="1" s="28">
      <c r="A87" s="32" t="inlineStr">
        <is>
          <t>Customer Support / OSS-BSS ($/sub/yr)</t>
        </is>
      </c>
      <c r="B87" s="41" t="n">
        <v>36</v>
      </c>
      <c r="C87" s="34" t="inlineStr">
        <is>
          <t>Billing, ticketing, CRM</t>
        </is>
      </c>
    </row>
    <row r="88" ht="15" customHeight="1" s="28">
      <c r="A88" s="32" t="inlineStr">
        <is>
          <t>SMS Management ($/sub/yr)</t>
        </is>
      </c>
      <c r="B88" s="41" t="n">
        <v>47</v>
      </c>
      <c r="C88" s="34" t="inlineStr">
        <is>
          <t>Tarana SMS license - Source: RN cost</t>
        </is>
      </c>
    </row>
    <row r="89" ht="15" customHeight="1" s="28">
      <c r="A89" s="32" t="inlineStr">
        <is>
          <t>SAS / CBRS ($/sub/yr)</t>
        </is>
      </c>
      <c r="B89" s="41" t="n">
        <v>12</v>
      </c>
      <c r="C89" s="34" t="inlineStr">
        <is>
          <t>Google SAS - Source: RN cost</t>
        </is>
      </c>
    </row>
    <row r="90" ht="15" customHeight="1" s="28">
      <c r="A90" s="32" t="inlineStr">
        <is>
          <t>Insurance (annual)</t>
        </is>
      </c>
      <c r="B90" s="41" t="n">
        <v>48000</v>
      </c>
      <c r="C90" s="34" t="inlineStr">
        <is>
          <t>Commercial liability + E&amp;O</t>
        </is>
      </c>
    </row>
    <row r="91" ht="15" customHeight="1" s="28">
      <c r="A91" s="32" t="inlineStr">
        <is>
          <t>Spares / Warranty Reserve (% of equip CAPEX)</t>
        </is>
      </c>
      <c r="B91" s="38" t="n">
        <v>0.02</v>
      </c>
      <c r="C91" s="34" t="inlineStr">
        <is>
          <t>2% annual reserve</t>
        </is>
      </c>
    </row>
    <row r="92" ht="15" customHeight="1" s="28">
      <c r="A92" s="32" t="inlineStr">
        <is>
          <t>Annual OPEX Escalator (%)</t>
        </is>
      </c>
      <c r="B92" s="38" t="n">
        <v>0.03</v>
      </c>
      <c r="C92" s="34" t="inlineStr">
        <is>
          <t>Inflation on fixed costs</t>
        </is>
      </c>
    </row>
    <row r="94" ht="15" customHeight="1" s="28">
      <c r="A94" s="34" t="inlineStr">
        <is>
          <t>KEY ROW INDEX (for formula reference)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G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6" customWidth="1" style="27" min="2" max="7"/>
  </cols>
  <sheetData>
    <row r="1" ht="17.25" customHeight="1" s="28">
      <c r="A1" s="29" t="inlineStr">
        <is>
          <t>WeLink AZ BEAD - Current Design (40 Sites)</t>
        </is>
      </c>
    </row>
    <row r="3" ht="15" customHeight="1" s="28">
      <c r="A3" s="30" t="inlineStr">
        <is>
          <t>DESIGN SUMMARY</t>
        </is>
      </c>
      <c r="B3" s="31" t="n"/>
      <c r="C3" s="31" t="n"/>
      <c r="D3" s="31" t="n"/>
      <c r="E3" s="31" t="n"/>
      <c r="F3" s="31" t="n"/>
      <c r="G3" s="31" t="n"/>
    </row>
    <row r="4" ht="15" customHeight="1" s="28">
      <c r="A4" s="32" t="inlineStr">
        <is>
          <t>Tower Sites</t>
        </is>
      </c>
      <c r="B4" s="33" t="n">
        <v>40</v>
      </c>
    </row>
    <row r="5" ht="15" customHeight="1" s="28">
      <c r="A5" s="32" t="inlineStr">
        <is>
          <t>Tarana G2 Sectors</t>
        </is>
      </c>
      <c r="B5" s="33" t="n">
        <v>80</v>
      </c>
    </row>
    <row r="6" ht="15" customHeight="1" s="28">
      <c r="A6" s="32" t="inlineStr">
        <is>
          <t>Ketsen Sectors</t>
        </is>
      </c>
      <c r="B6" s="33" t="n">
        <v>12</v>
      </c>
    </row>
    <row r="7" ht="15" customHeight="1" s="28">
      <c r="A7" s="32" t="inlineStr">
        <is>
          <t>BSLs Assigned</t>
        </is>
      </c>
      <c r="B7" s="33" t="n">
        <v>9584</v>
      </c>
    </row>
    <row r="8" ht="15" customHeight="1" s="28">
      <c r="A8" s="32" t="inlineStr">
        <is>
          <t>BSL Gap</t>
        </is>
      </c>
      <c r="B8" s="42">
        <f>Assumptions!B4-B7</f>
        <v/>
      </c>
    </row>
    <row r="10" ht="15" customHeight="1" s="28">
      <c r="A10" s="30" t="inlineStr">
        <is>
          <t>INFRASTRUCTURE CAPEX (Architecture-Driven)</t>
        </is>
      </c>
      <c r="B10" s="31" t="n"/>
      <c r="C10" s="31" t="n"/>
      <c r="D10" s="31" t="n"/>
      <c r="E10" s="31" t="n"/>
      <c r="F10" s="31" t="n"/>
      <c r="G10" s="31" t="n"/>
    </row>
    <row r="11" ht="15" customHeight="1" s="28">
      <c r="A11" s="32" t="inlineStr">
        <is>
          <t>Sector Equipment (80 sectors)</t>
        </is>
      </c>
      <c r="B11" s="43">
        <f>B5*Assumptions!B69</f>
        <v/>
      </c>
      <c r="C11" s="34" t="inlineStr">
        <is>
          <t>Tarana G2 sectors * $21K BN</t>
        </is>
      </c>
    </row>
    <row r="12" ht="15" customHeight="1" s="28">
      <c r="A12" s="32" t="inlineStr">
        <is>
          <t>Per-Site Accessories</t>
        </is>
      </c>
      <c r="B12" s="43">
        <f>B4*Assumptions!B70</f>
        <v/>
      </c>
      <c r="C12" s="34" t="inlineStr">
        <is>
          <t>40 sites * $1,446</t>
        </is>
      </c>
    </row>
    <row r="13" ht="15" customHeight="1" s="28">
      <c r="A13" s="32" t="inlineStr">
        <is>
          <t>Ketsen Gateways (12)</t>
        </is>
      </c>
      <c r="B13" s="43">
        <f>B6*Assumptions!B72</f>
        <v/>
      </c>
      <c r="C13" s="34" t="inlineStr">
        <is>
          <t>12 * $2,000</t>
        </is>
      </c>
    </row>
    <row r="14" ht="15" customHeight="1" s="28">
      <c r="A14" s="32" t="inlineStr">
        <is>
          <t>Tower Infrastructure (assumed existing)</t>
        </is>
      </c>
      <c r="B14" s="36" t="n">
        <v>0</v>
      </c>
      <c r="C14" s="34" t="inlineStr">
        <is>
          <t>Current sites already built</t>
        </is>
      </c>
    </row>
    <row r="15" ht="15" customHeight="1" s="28">
      <c r="A15" s="32" t="inlineStr">
        <is>
          <t>Make-Ready / Power</t>
        </is>
      </c>
      <c r="B15" s="43">
        <f>B4*Assumptions!B77</f>
        <v/>
      </c>
      <c r="C15" s="34" t="inlineStr">
        <is>
          <t>$10K/site</t>
        </is>
      </c>
    </row>
    <row r="16" ht="15" customHeight="1" s="28">
      <c r="A16" s="32" t="inlineStr">
        <is>
          <t>Subtotal Pre-Contingency</t>
        </is>
      </c>
      <c r="B16" s="37">
        <f>SUM(B11:B15)</f>
        <v/>
      </c>
    </row>
    <row r="17" ht="15" customHeight="1" s="28">
      <c r="A17" s="32" t="inlineStr">
        <is>
          <t>Contingency</t>
        </is>
      </c>
      <c r="B17" s="43">
        <f>B16*Assumptions!B78</f>
        <v/>
      </c>
    </row>
    <row r="18" ht="15" customHeight="1" s="28">
      <c r="A18" s="32" t="inlineStr">
        <is>
          <t>Total Infrastructure CAPEX</t>
        </is>
      </c>
      <c r="B18" s="37">
        <f>B16+B17</f>
        <v/>
      </c>
    </row>
    <row r="20" ht="15" customHeight="1" s="28">
      <c r="A20" s="30" t="inlineStr">
        <is>
          <t>5-YEAR P&amp;L PROJECTION</t>
        </is>
      </c>
      <c r="B20" s="31" t="n"/>
      <c r="C20" s="31" t="n"/>
      <c r="D20" s="31" t="n"/>
      <c r="E20" s="31" t="n"/>
      <c r="F20" s="31" t="n"/>
      <c r="G20" s="31" t="n"/>
    </row>
    <row r="21" ht="15" customHeight="1" s="28">
      <c r="A21" s="40" t="inlineStr">
        <is>
          <t>Metric</t>
        </is>
      </c>
      <c r="B21" s="44" t="inlineStr">
        <is>
          <t>Year 1</t>
        </is>
      </c>
      <c r="C21" s="44" t="inlineStr">
        <is>
          <t>Year 2</t>
        </is>
      </c>
      <c r="D21" s="44" t="inlineStr">
        <is>
          <t>Year 3</t>
        </is>
      </c>
      <c r="E21" s="44" t="inlineStr">
        <is>
          <t>Year 4</t>
        </is>
      </c>
      <c r="F21" s="44" t="inlineStr">
        <is>
          <t>Year 5</t>
        </is>
      </c>
    </row>
    <row r="22" ht="15" customHeight="1" s="28">
      <c r="A22" s="32" t="inlineStr">
        <is>
          <t>Tarana Take Rate</t>
        </is>
      </c>
      <c r="B22" s="45">
        <f>Assumptions!B53</f>
        <v/>
      </c>
      <c r="C22" s="45">
        <f>Assumptions!B54</f>
        <v/>
      </c>
      <c r="D22" s="45">
        <f>Assumptions!B55</f>
        <v/>
      </c>
      <c r="E22" s="45">
        <f>Assumptions!B56</f>
        <v/>
      </c>
      <c r="F22" s="45">
        <f>Assumptions!B57</f>
        <v/>
      </c>
    </row>
    <row r="23" ht="15" customHeight="1" s="28">
      <c r="A23" s="32" t="inlineStr">
        <is>
          <t>Ketsen Take Rate</t>
        </is>
      </c>
      <c r="B23" s="45">
        <f>Assumptions!C53</f>
        <v/>
      </c>
      <c r="C23" s="45">
        <f>Assumptions!C54</f>
        <v/>
      </c>
      <c r="D23" s="45">
        <f>Assumptions!C55</f>
        <v/>
      </c>
      <c r="E23" s="45">
        <f>Assumptions!C56</f>
        <v/>
      </c>
      <c r="F23" s="45">
        <f>Assumptions!C57</f>
        <v/>
      </c>
    </row>
    <row r="24" ht="15" customHeight="1" s="28">
      <c r="A24" s="32" t="inlineStr">
        <is>
          <t>Tarana Subscribers</t>
        </is>
      </c>
      <c r="B24" s="35">
        <f>B7*B22</f>
        <v/>
      </c>
      <c r="C24" s="35">
        <f>B7*C22</f>
        <v/>
      </c>
      <c r="D24" s="35">
        <f>B7*D22</f>
        <v/>
      </c>
      <c r="E24" s="35">
        <f>B7*E22</f>
        <v/>
      </c>
      <c r="F24" s="35">
        <f>B7*F22</f>
        <v/>
      </c>
    </row>
    <row r="25" ht="15" customHeight="1" s="28">
      <c r="A25" s="32" t="inlineStr">
        <is>
          <t>Ketsen Subscribers</t>
        </is>
      </c>
      <c r="B25" s="33" t="n">
        <v>0</v>
      </c>
      <c r="C25" s="33" t="n">
        <v>0</v>
      </c>
      <c r="D25" s="33" t="n">
        <v>0</v>
      </c>
      <c r="E25" s="33" t="n">
        <v>0</v>
      </c>
      <c r="F25" s="33" t="n">
        <v>0</v>
      </c>
    </row>
    <row r="26" ht="15" customHeight="1" s="28">
      <c r="A26" s="40" t="inlineStr">
        <is>
          <t>Total Subscribers</t>
        </is>
      </c>
      <c r="B26" s="35">
        <f>B24+B25</f>
        <v/>
      </c>
      <c r="C26" s="35">
        <f>C24+C25</f>
        <v/>
      </c>
      <c r="D26" s="35">
        <f>D24+D25</f>
        <v/>
      </c>
      <c r="E26" s="35">
        <f>E24+E25</f>
        <v/>
      </c>
      <c r="F26" s="35">
        <f>F24+F25</f>
        <v/>
      </c>
    </row>
    <row r="27" ht="15" customHeight="1" s="28">
      <c r="A27" s="40" t="inlineStr">
        <is>
          <t>Revenue</t>
        </is>
      </c>
      <c r="B27" s="37">
        <f>B26*Assumptions!B49</f>
        <v/>
      </c>
      <c r="C27" s="37">
        <f>C26*Assumptions!B49</f>
        <v/>
      </c>
      <c r="D27" s="37">
        <f>D26*Assumptions!B49</f>
        <v/>
      </c>
      <c r="E27" s="37">
        <f>E26*Assumptions!B49</f>
        <v/>
      </c>
      <c r="F27" s="37">
        <f>F26*Assumptions!B49</f>
        <v/>
      </c>
    </row>
    <row r="29" ht="15" customHeight="1" s="28">
      <c r="A29" s="32" t="inlineStr">
        <is>
          <t>Tarana CPE CAPEX</t>
        </is>
      </c>
      <c r="B29" s="37">
        <f>B24*Assumptions!B63</f>
        <v/>
      </c>
      <c r="C29" s="37">
        <f>(C24-B24)*Assumptions!B63</f>
        <v/>
      </c>
      <c r="D29" s="37">
        <f>(D24-C24)*Assumptions!B63</f>
        <v/>
      </c>
      <c r="E29" s="37">
        <f>(E24-D24)*Assumptions!B63</f>
        <v/>
      </c>
      <c r="F29" s="37">
        <f>(F24-E24)*Assumptions!B63</f>
        <v/>
      </c>
    </row>
    <row r="30" ht="15" customHeight="1" s="28">
      <c r="A30" s="32" t="inlineStr">
        <is>
          <t>Ketsen CPE CAPEX</t>
        </is>
      </c>
      <c r="B30" s="37">
        <f>B25*Assumptions!B66</f>
        <v/>
      </c>
      <c r="C30" s="37">
        <f>(C25-B25)*Assumptions!B66</f>
        <v/>
      </c>
      <c r="D30" s="37">
        <f>(D25-C25)*Assumptions!B66</f>
        <v/>
      </c>
      <c r="E30" s="37">
        <f>(E25-D25)*Assumptions!B66</f>
        <v/>
      </c>
      <c r="F30" s="37">
        <f>(F25-E25)*Assumptions!B66</f>
        <v/>
      </c>
    </row>
    <row r="31" ht="15" customHeight="1" s="28">
      <c r="A31" s="32" t="inlineStr">
        <is>
          <t>Total CPE CAPEX</t>
        </is>
      </c>
      <c r="B31" s="37">
        <f>B29+B30</f>
        <v/>
      </c>
      <c r="C31" s="37">
        <f>C29+C30</f>
        <v/>
      </c>
      <c r="D31" s="37">
        <f>D29+D30</f>
        <v/>
      </c>
      <c r="E31" s="37">
        <f>E29+E30</f>
        <v/>
      </c>
      <c r="F31" s="37">
        <f>F29+F30</f>
        <v/>
      </c>
    </row>
    <row r="32" ht="15" customHeight="1" s="28">
      <c r="A32" s="40" t="inlineStr">
        <is>
          <t>Total CAPEX</t>
        </is>
      </c>
      <c r="B32" s="37">
        <f>B18+B31</f>
        <v/>
      </c>
      <c r="C32" s="37">
        <f>C31</f>
        <v/>
      </c>
      <c r="D32" s="37">
        <f>D31</f>
        <v/>
      </c>
      <c r="E32" s="37">
        <f>E31</f>
        <v/>
      </c>
      <c r="F32" s="37">
        <f>F31</f>
        <v/>
      </c>
    </row>
    <row r="34" ht="15" customHeight="1" s="28">
      <c r="A34" s="30" t="inlineStr">
        <is>
          <t>OPEX DETAIL</t>
        </is>
      </c>
      <c r="B34" s="31" t="n"/>
      <c r="C34" s="31" t="n"/>
      <c r="D34" s="31" t="n"/>
      <c r="E34" s="31" t="n"/>
      <c r="F34" s="31" t="n"/>
      <c r="G34" s="31" t="n"/>
    </row>
    <row r="35" ht="15" customHeight="1" s="28">
      <c r="A35" s="32" t="inlineStr">
        <is>
          <t>Tower / Site Leases</t>
        </is>
      </c>
      <c r="B35" s="43">
        <f>B4*Assumptions!B81</f>
        <v/>
      </c>
      <c r="C35" s="43">
        <f>B4*Assumptions!B81*(1+Assumptions!B92)^1</f>
        <v/>
      </c>
      <c r="D35" s="43">
        <f>B4*Assumptions!B81*(1+Assumptions!B92)^2</f>
        <v/>
      </c>
      <c r="E35" s="43">
        <f>B4*Assumptions!B81*(1+Assumptions!B92)^3</f>
        <v/>
      </c>
      <c r="F35" s="43">
        <f>B4*Assumptions!B81*(1+Assumptions!B92)^4</f>
        <v/>
      </c>
    </row>
    <row r="36" ht="15" customHeight="1" s="28">
      <c r="A36" s="32" t="inlineStr">
        <is>
          <t>Tower Power</t>
        </is>
      </c>
      <c r="B36" s="43">
        <f>B4*Assumptions!B83</f>
        <v/>
      </c>
      <c r="C36" s="43">
        <f>B4*Assumptions!B83*(1+Assumptions!B92)^1</f>
        <v/>
      </c>
      <c r="D36" s="43">
        <f>B4*Assumptions!B83*(1+Assumptions!B92)^2</f>
        <v/>
      </c>
      <c r="E36" s="43">
        <f>B4*Assumptions!B83*(1+Assumptions!B92)^3</f>
        <v/>
      </c>
      <c r="F36" s="43">
        <f>B4*Assumptions!B83*(1+Assumptions!B92)^4</f>
        <v/>
      </c>
    </row>
    <row r="37" ht="15" customHeight="1" s="28">
      <c r="A37" s="32" t="inlineStr">
        <is>
          <t>NOC / Network Ops</t>
        </is>
      </c>
      <c r="B37" s="43">
        <f>Assumptions!B84</f>
        <v/>
      </c>
      <c r="C37" s="43">
        <f>Assumptions!B84*(1+Assumptions!B92)^1</f>
        <v/>
      </c>
      <c r="D37" s="43">
        <f>Assumptions!B84*(1+Assumptions!B92)^2</f>
        <v/>
      </c>
      <c r="E37" s="43">
        <f>Assumptions!B84*(1+Assumptions!B92)^3</f>
        <v/>
      </c>
      <c r="F37" s="43">
        <f>Assumptions!B84*(1+Assumptions!B92)^4</f>
        <v/>
      </c>
    </row>
    <row r="38" ht="15" customHeight="1" s="28">
      <c r="A38" s="32" t="inlineStr">
        <is>
          <t>Transport / Backhaul</t>
        </is>
      </c>
      <c r="B38" s="43">
        <f>B4*Assumptions!B85</f>
        <v/>
      </c>
      <c r="C38" s="43">
        <f>B4*Assumptions!B85*(1+Assumptions!B92)^1</f>
        <v/>
      </c>
      <c r="D38" s="43">
        <f>B4*Assumptions!B85*(1+Assumptions!B92)^2</f>
        <v/>
      </c>
      <c r="E38" s="43">
        <f>B4*Assumptions!B85*(1+Assumptions!B92)^3</f>
        <v/>
      </c>
      <c r="F38" s="43">
        <f>B4*Assumptions!B85*(1+Assumptions!B92)^4</f>
        <v/>
      </c>
    </row>
    <row r="39" ht="15" customHeight="1" s="28">
      <c r="A39" s="32" t="inlineStr">
        <is>
          <t>Field Maintenance</t>
        </is>
      </c>
      <c r="B39" s="43">
        <f>Assumptions!B86</f>
        <v/>
      </c>
      <c r="C39" s="43">
        <f>Assumptions!B86*(1+Assumptions!B92)^1</f>
        <v/>
      </c>
      <c r="D39" s="43">
        <f>Assumptions!B86*(1+Assumptions!B92)^2</f>
        <v/>
      </c>
      <c r="E39" s="43">
        <f>Assumptions!B86*(1+Assumptions!B92)^3</f>
        <v/>
      </c>
      <c r="F39" s="43">
        <f>Assumptions!B86*(1+Assumptions!B92)^4</f>
        <v/>
      </c>
    </row>
    <row r="40" ht="15" customHeight="1" s="28">
      <c r="A40" s="32" t="inlineStr">
        <is>
          <t>Customer Support / OSS-BSS</t>
        </is>
      </c>
      <c r="B40" s="43">
        <f>B26*Assumptions!B87</f>
        <v/>
      </c>
      <c r="C40" s="43">
        <f>C26*Assumptions!B87</f>
        <v/>
      </c>
      <c r="D40" s="43">
        <f>D26*Assumptions!B87</f>
        <v/>
      </c>
      <c r="E40" s="43">
        <f>E26*Assumptions!B87</f>
        <v/>
      </c>
      <c r="F40" s="43">
        <f>F26*Assumptions!B87</f>
        <v/>
      </c>
    </row>
    <row r="41" ht="15" customHeight="1" s="28">
      <c r="A41" s="32" t="inlineStr">
        <is>
          <t>SMS Management</t>
        </is>
      </c>
      <c r="B41" s="43">
        <f>B24*Assumptions!B88</f>
        <v/>
      </c>
      <c r="C41" s="43">
        <f>C24*Assumptions!B88</f>
        <v/>
      </c>
      <c r="D41" s="43">
        <f>D24*Assumptions!B88</f>
        <v/>
      </c>
      <c r="E41" s="43">
        <f>E24*Assumptions!B88</f>
        <v/>
      </c>
      <c r="F41" s="43">
        <f>F24*Assumptions!B88</f>
        <v/>
      </c>
    </row>
    <row r="42" ht="15" customHeight="1" s="28">
      <c r="A42" s="32" t="inlineStr">
        <is>
          <t>SAS / CBRS</t>
        </is>
      </c>
      <c r="B42" s="43">
        <f>B24*Assumptions!B89</f>
        <v/>
      </c>
      <c r="C42" s="43">
        <f>C24*Assumptions!B89</f>
        <v/>
      </c>
      <c r="D42" s="43">
        <f>D24*Assumptions!B89</f>
        <v/>
      </c>
      <c r="E42" s="43">
        <f>E24*Assumptions!B89</f>
        <v/>
      </c>
      <c r="F42" s="43">
        <f>F24*Assumptions!B89</f>
        <v/>
      </c>
    </row>
    <row r="43" ht="15" customHeight="1" s="28">
      <c r="A43" s="32" t="inlineStr">
        <is>
          <t>Insurance</t>
        </is>
      </c>
      <c r="B43" s="43">
        <f>Assumptions!B90</f>
        <v/>
      </c>
      <c r="C43" s="43">
        <f>Assumptions!B90*(1+Assumptions!B92)^1</f>
        <v/>
      </c>
      <c r="D43" s="43">
        <f>Assumptions!B90*(1+Assumptions!B92)^2</f>
        <v/>
      </c>
      <c r="E43" s="43">
        <f>Assumptions!B90*(1+Assumptions!B92)^3</f>
        <v/>
      </c>
      <c r="F43" s="43">
        <f>Assumptions!B90*(1+Assumptions!B92)^4</f>
        <v/>
      </c>
    </row>
    <row r="44" ht="15" customHeight="1" s="28">
      <c r="A44" s="32" t="inlineStr">
        <is>
          <t>Spares / Warranty Reserve</t>
        </is>
      </c>
      <c r="B44" s="43">
        <f>B18*Assumptions!B91</f>
        <v/>
      </c>
      <c r="C44" s="43">
        <f>B18*Assumptions!B91</f>
        <v/>
      </c>
      <c r="D44" s="43">
        <f>B18*Assumptions!B91</f>
        <v/>
      </c>
      <c r="E44" s="43">
        <f>B18*Assumptions!B91</f>
        <v/>
      </c>
      <c r="F44" s="43">
        <f>B18*Assumptions!B91</f>
        <v/>
      </c>
    </row>
    <row r="45" ht="15" customHeight="1" s="28">
      <c r="A45" s="40" t="inlineStr">
        <is>
          <t>Total OPEX</t>
        </is>
      </c>
      <c r="B45" s="37">
        <f>B35+B36+B37+B38+B39+B40+B41+B42+B43+B44</f>
        <v/>
      </c>
      <c r="C45" s="37">
        <f>C35+C36+C37+C38+C39+C40+C41+C42+C43+C44</f>
        <v/>
      </c>
      <c r="D45" s="37">
        <f>D35+D36+D37+D38+D39+D40+D41+D42+D43+D44</f>
        <v/>
      </c>
      <c r="E45" s="37">
        <f>E35+E36+E37+E38+E39+E40+E41+E42+E43+E44</f>
        <v/>
      </c>
      <c r="F45" s="37">
        <f>F35+F36+F37+F38+F39+F40+F41+F42+F43+F44</f>
        <v/>
      </c>
    </row>
    <row r="47" ht="15" customHeight="1" s="28">
      <c r="A47" s="40" t="inlineStr">
        <is>
          <t>EBITDA</t>
        </is>
      </c>
      <c r="B47" s="46">
        <f>B27-B45</f>
        <v/>
      </c>
      <c r="C47" s="46">
        <f>C27-C45</f>
        <v/>
      </c>
      <c r="D47" s="46">
        <f>D27-D45</f>
        <v/>
      </c>
      <c r="E47" s="46">
        <f>E27-E45</f>
        <v/>
      </c>
      <c r="F47" s="46">
        <f>F27-F45</f>
        <v/>
      </c>
    </row>
    <row r="48" ht="15" customHeight="1" s="28">
      <c r="A48" s="32" t="inlineStr">
        <is>
          <t>EBITDA Margin</t>
        </is>
      </c>
      <c r="B48" s="47">
        <f>IF(B27=0,0,B47/B27)</f>
        <v/>
      </c>
      <c r="C48" s="47">
        <f>IF(C27=0,0,C47/C27)</f>
        <v/>
      </c>
      <c r="D48" s="47">
        <f>IF(D27=0,0,D47/D27)</f>
        <v/>
      </c>
      <c r="E48" s="47">
        <f>IF(E27=0,0,E47/E27)</f>
        <v/>
      </c>
      <c r="F48" s="47">
        <f>IF(F27=0,0,F47/F27)</f>
        <v/>
      </c>
    </row>
    <row r="50" ht="15" customHeight="1" s="28">
      <c r="A50" s="30" t="inlineStr">
        <is>
          <t>BEAD FUNDING</t>
        </is>
      </c>
      <c r="B50" s="31" t="n"/>
      <c r="C50" s="31" t="n"/>
      <c r="D50" s="31" t="n"/>
      <c r="E50" s="31" t="n"/>
      <c r="F50" s="31" t="n"/>
      <c r="G50" s="31" t="n"/>
    </row>
    <row r="51" ht="15" customHeight="1" s="28">
      <c r="A51" s="32" t="inlineStr">
        <is>
          <t>BEAD Draw (net of retainage)</t>
        </is>
      </c>
      <c r="B51" s="43">
        <f>Assumptions!B36*Assumptions!B39</f>
        <v/>
      </c>
      <c r="C51" s="43">
        <f>Assumptions!B36*Assumptions!B40</f>
        <v/>
      </c>
      <c r="D51" s="43">
        <f>Assumptions!B36*Assumptions!B41</f>
        <v/>
      </c>
      <c r="E51" s="43">
        <f>Assumptions!B36*Assumptions!B42+Assumptions!B34*Assumptions!B35</f>
        <v/>
      </c>
      <c r="F51" s="36" t="n">
        <v>0</v>
      </c>
    </row>
    <row r="52" ht="15" customHeight="1" s="28">
      <c r="A52" s="40" t="inlineStr">
        <is>
          <t>Free Cash Flow (EBITDA - CAPEX + BEAD)</t>
        </is>
      </c>
      <c r="B52" s="46">
        <f>B47-B32+B51</f>
        <v/>
      </c>
      <c r="C52" s="46">
        <f>C47-C32+C51</f>
        <v/>
      </c>
      <c r="D52" s="46">
        <f>D47-D32+D51</f>
        <v/>
      </c>
      <c r="E52" s="46">
        <f>E47-E32+E51</f>
        <v/>
      </c>
      <c r="F52" s="46">
        <f>F47-F32+F51</f>
        <v/>
      </c>
    </row>
    <row r="53" ht="15" customHeight="1" s="28">
      <c r="A53" s="32" t="inlineStr">
        <is>
          <t>Cumulative FCF</t>
        </is>
      </c>
      <c r="B53" s="46">
        <f>B52</f>
        <v/>
      </c>
      <c r="C53" s="46">
        <f>B53+C52</f>
        <v/>
      </c>
      <c r="D53" s="46">
        <f>C53+D52</f>
        <v/>
      </c>
      <c r="E53" s="46">
        <f>D53+E52</f>
        <v/>
      </c>
      <c r="F53" s="46">
        <f>E53+F52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E67E22"/>
    <outlinePr summaryBelow="1" summaryRight="1"/>
    <pageSetUpPr fitToPage="0"/>
  </sheetPr>
  <dimension ref="A1:G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6" customWidth="1" style="27" min="2" max="7"/>
  </cols>
  <sheetData>
    <row r="1" ht="17.25" customHeight="1" s="28">
      <c r="A1" s="29" t="inlineStr">
        <is>
          <t>WeLink AZ BEAD - Corrected Design (101 Sites)</t>
        </is>
      </c>
    </row>
    <row r="3" ht="15" customHeight="1" s="28">
      <c r="A3" s="30" t="inlineStr">
        <is>
          <t>DESIGN SUMMARY</t>
        </is>
      </c>
      <c r="B3" s="31" t="n"/>
      <c r="C3" s="31" t="n"/>
      <c r="D3" s="31" t="n"/>
      <c r="E3" s="31" t="n"/>
      <c r="F3" s="31" t="n"/>
      <c r="G3" s="31" t="n"/>
    </row>
    <row r="4" ht="15" customHeight="1" s="28">
      <c r="A4" s="32" t="inlineStr">
        <is>
          <t>Total Sites</t>
        </is>
      </c>
      <c r="B4" s="33" t="n">
        <v>101</v>
      </c>
    </row>
    <row r="5" ht="15" customHeight="1" s="28">
      <c r="A5" s="32" t="inlineStr">
        <is>
          <t>Tarana G2 Sites</t>
        </is>
      </c>
      <c r="B5" s="33" t="n">
        <v>88</v>
      </c>
    </row>
    <row r="6" ht="15" customHeight="1" s="28">
      <c r="A6" s="32" t="inlineStr">
        <is>
          <t>Ketsen Mesh Sites</t>
        </is>
      </c>
      <c r="B6" s="33" t="n">
        <v>13</v>
      </c>
    </row>
    <row r="7" ht="15" customHeight="1" s="28">
      <c r="A7" s="32" t="inlineStr">
        <is>
          <t>Tarana G2 Access Sectors</t>
        </is>
      </c>
      <c r="B7" s="33" t="n">
        <v>102</v>
      </c>
    </row>
    <row r="8" ht="15" customHeight="1" s="28">
      <c r="A8" s="32" t="inlineStr">
        <is>
          <t>Tarana P2P BH Sectors</t>
        </is>
      </c>
      <c r="B8" s="33" t="n">
        <v>13</v>
      </c>
    </row>
    <row r="9" ht="15" customHeight="1" s="28">
      <c r="A9" s="32" t="inlineStr">
        <is>
          <t>Total Sectors</t>
        </is>
      </c>
      <c r="B9" s="35">
        <f>B7+B8</f>
        <v/>
      </c>
    </row>
    <row r="10" ht="15" customHeight="1" s="28">
      <c r="A10" s="32" t="inlineStr">
        <is>
          <t>Ketsen Gateways</t>
        </is>
      </c>
      <c r="B10" s="33" t="n">
        <v>13</v>
      </c>
    </row>
    <row r="11" ht="15" customHeight="1" s="28">
      <c r="A11" s="32" t="inlineStr">
        <is>
          <t>BSLs Assigned (Tarana)</t>
        </is>
      </c>
      <c r="B11" s="42">
        <f>Assumptions!B5</f>
        <v/>
      </c>
    </row>
    <row r="12" ht="15" customHeight="1" s="28">
      <c r="A12" s="32" t="inlineStr">
        <is>
          <t>BSLs Assigned (Ketsen)</t>
        </is>
      </c>
      <c r="B12" s="42">
        <f>Assumptions!B6</f>
        <v/>
      </c>
    </row>
    <row r="13" ht="15" customHeight="1" s="28">
      <c r="A13" s="32" t="inlineStr">
        <is>
          <t>Total BSLs Assigned</t>
        </is>
      </c>
      <c r="B13" s="35">
        <f>B11+B12</f>
        <v/>
      </c>
    </row>
    <row r="14" ht="15" customHeight="1" s="28">
      <c r="A14" s="32" t="inlineStr">
        <is>
          <t>BSL Gap</t>
        </is>
      </c>
      <c r="B14" s="42">
        <f>Assumptions!B4-B13</f>
        <v/>
      </c>
    </row>
    <row r="16" ht="15" customHeight="1" s="28">
      <c r="A16" s="30" t="inlineStr">
        <is>
          <t>INFRASTRUCTURE CAPEX (Architecture-Driven)</t>
        </is>
      </c>
      <c r="B16" s="31" t="n"/>
      <c r="C16" s="31" t="n"/>
      <c r="D16" s="31" t="n"/>
      <c r="E16" s="31" t="n"/>
      <c r="F16" s="31" t="n"/>
      <c r="G16" s="31" t="n"/>
    </row>
    <row r="17" ht="15" customHeight="1" s="28">
      <c r="A17" s="32" t="inlineStr">
        <is>
          <t>Tarana G2 BN Equipment (102 access sectors)</t>
        </is>
      </c>
      <c r="B17" s="43">
        <f>B7*Assumptions!B69</f>
        <v/>
      </c>
      <c r="C17" s="34" t="inlineStr">
        <is>
          <t>102 access sectors * $21K</t>
        </is>
      </c>
    </row>
    <row r="18" ht="15" customHeight="1" s="28">
      <c r="A18" s="32" t="inlineStr">
        <is>
          <t>Tarana P2P BH Radios (13 sectors)</t>
        </is>
      </c>
      <c r="B18" s="43">
        <f>B8*Assumptions!B71</f>
        <v/>
      </c>
      <c r="C18" s="34" t="inlineStr">
        <is>
          <t>13 BH sectors * $11,634</t>
        </is>
      </c>
    </row>
    <row r="19" ht="15" customHeight="1" s="28">
      <c r="A19" s="32" t="inlineStr">
        <is>
          <t>Per-Site Accessories</t>
        </is>
      </c>
      <c r="B19" s="43">
        <f>B4*Assumptions!B70</f>
        <v/>
      </c>
      <c r="C19" s="34" t="inlineStr">
        <is>
          <t>101 sites * $1,446</t>
        </is>
      </c>
    </row>
    <row r="20" ht="15" customHeight="1" s="28">
      <c r="A20" s="32" t="inlineStr">
        <is>
          <t>Ketsen Gateways</t>
        </is>
      </c>
      <c r="B20" s="43">
        <f>B10*Assumptions!B72</f>
        <v/>
      </c>
      <c r="C20" s="34" t="inlineStr">
        <is>
          <t>13 * $2,000</t>
        </is>
      </c>
    </row>
    <row r="21" ht="15" customHeight="1" s="28">
      <c r="A21" s="32" t="inlineStr">
        <is>
          <t>New Tower Build (101 sites)</t>
        </is>
      </c>
      <c r="B21" s="43">
        <f>B4*Assumptions!B75</f>
        <v/>
      </c>
      <c r="C21" s="34" t="inlineStr">
        <is>
          <t>101 * $50K</t>
        </is>
      </c>
    </row>
    <row r="22" ht="15" customHeight="1" s="28">
      <c r="A22" s="32" t="inlineStr">
        <is>
          <t>Make-Ready / Power</t>
        </is>
      </c>
      <c r="B22" s="43">
        <f>B4*Assumptions!B77</f>
        <v/>
      </c>
      <c r="C22" s="34" t="inlineStr">
        <is>
          <t>101 * $10K</t>
        </is>
      </c>
    </row>
    <row r="23" ht="15" customHeight="1" s="28">
      <c r="A23" s="32" t="inlineStr">
        <is>
          <t>Subtotal Pre-Contingency</t>
        </is>
      </c>
      <c r="B23" s="37">
        <f>SUM(B17:B22)</f>
        <v/>
      </c>
    </row>
    <row r="24" ht="15" customHeight="1" s="28">
      <c r="A24" s="32" t="inlineStr">
        <is>
          <t>Contingency</t>
        </is>
      </c>
      <c r="B24" s="43">
        <f>B23*Assumptions!B78</f>
        <v/>
      </c>
    </row>
    <row r="25" ht="15" customHeight="1" s="28">
      <c r="A25" s="32" t="inlineStr">
        <is>
          <t>Total Infrastructure CAPEX</t>
        </is>
      </c>
      <c r="B25" s="37">
        <f>B23+B24</f>
        <v/>
      </c>
    </row>
    <row r="27" ht="15" customHeight="1" s="28">
      <c r="A27" s="30" t="inlineStr">
        <is>
          <t>5-YEAR P&amp;L PROJECTION</t>
        </is>
      </c>
      <c r="B27" s="31" t="n"/>
      <c r="C27" s="31" t="n"/>
      <c r="D27" s="31" t="n"/>
      <c r="E27" s="31" t="n"/>
      <c r="F27" s="31" t="n"/>
      <c r="G27" s="31" t="n"/>
    </row>
    <row r="28" ht="15" customHeight="1" s="28">
      <c r="A28" s="40" t="inlineStr">
        <is>
          <t>Metric</t>
        </is>
      </c>
      <c r="B28" s="44" t="inlineStr">
        <is>
          <t>Year 1</t>
        </is>
      </c>
      <c r="C28" s="44" t="inlineStr">
        <is>
          <t>Year 2</t>
        </is>
      </c>
      <c r="D28" s="44" t="inlineStr">
        <is>
          <t>Year 3</t>
        </is>
      </c>
      <c r="E28" s="44" t="inlineStr">
        <is>
          <t>Year 4</t>
        </is>
      </c>
      <c r="F28" s="44" t="inlineStr">
        <is>
          <t>Year 5</t>
        </is>
      </c>
    </row>
    <row r="29" ht="15" customHeight="1" s="28">
      <c r="A29" s="32" t="inlineStr">
        <is>
          <t>Tarana Take Rate</t>
        </is>
      </c>
      <c r="B29" s="45">
        <f>Assumptions!B53</f>
        <v/>
      </c>
      <c r="C29" s="45">
        <f>Assumptions!B54</f>
        <v/>
      </c>
      <c r="D29" s="45">
        <f>Assumptions!B55</f>
        <v/>
      </c>
      <c r="E29" s="45">
        <f>Assumptions!B56</f>
        <v/>
      </c>
      <c r="F29" s="45">
        <f>Assumptions!B57</f>
        <v/>
      </c>
    </row>
    <row r="30" ht="15" customHeight="1" s="28">
      <c r="A30" s="32" t="inlineStr">
        <is>
          <t>Ketsen Take Rate</t>
        </is>
      </c>
      <c r="B30" s="45">
        <f>Assumptions!C53</f>
        <v/>
      </c>
      <c r="C30" s="45">
        <f>Assumptions!C54</f>
        <v/>
      </c>
      <c r="D30" s="45">
        <f>Assumptions!C55</f>
        <v/>
      </c>
      <c r="E30" s="45">
        <f>Assumptions!C56</f>
        <v/>
      </c>
      <c r="F30" s="45">
        <f>Assumptions!C57</f>
        <v/>
      </c>
    </row>
    <row r="31" ht="15" customHeight="1" s="28">
      <c r="A31" s="32" t="inlineStr">
        <is>
          <t>Tarana Subscribers</t>
        </is>
      </c>
      <c r="B31" s="35">
        <f>B11*B29</f>
        <v/>
      </c>
      <c r="C31" s="35">
        <f>B11*C29</f>
        <v/>
      </c>
      <c r="D31" s="35">
        <f>B11*D29</f>
        <v/>
      </c>
      <c r="E31" s="35">
        <f>B11*E29</f>
        <v/>
      </c>
      <c r="F31" s="35">
        <f>B11*F29</f>
        <v/>
      </c>
    </row>
    <row r="32" ht="15" customHeight="1" s="28">
      <c r="A32" s="32" t="inlineStr">
        <is>
          <t>Ketsen Subscribers</t>
        </is>
      </c>
      <c r="B32" s="35">
        <f>B12*B30</f>
        <v/>
      </c>
      <c r="C32" s="35">
        <f>B12*C30</f>
        <v/>
      </c>
      <c r="D32" s="35">
        <f>B12*D30</f>
        <v/>
      </c>
      <c r="E32" s="35">
        <f>B12*E30</f>
        <v/>
      </c>
      <c r="F32" s="35">
        <f>B12*F30</f>
        <v/>
      </c>
    </row>
    <row r="33" ht="15" customHeight="1" s="28">
      <c r="A33" s="40" t="inlineStr">
        <is>
          <t>Total Subscribers</t>
        </is>
      </c>
      <c r="B33" s="35">
        <f>B31+B32</f>
        <v/>
      </c>
      <c r="C33" s="35">
        <f>C31+C32</f>
        <v/>
      </c>
      <c r="D33" s="35">
        <f>D31+D32</f>
        <v/>
      </c>
      <c r="E33" s="35">
        <f>E31+E32</f>
        <v/>
      </c>
      <c r="F33" s="35">
        <f>F31+F32</f>
        <v/>
      </c>
    </row>
    <row r="34" ht="15" customHeight="1" s="28">
      <c r="A34" s="40" t="inlineStr">
        <is>
          <t>Revenue</t>
        </is>
      </c>
      <c r="B34" s="37">
        <f>B33*Assumptions!B49</f>
        <v/>
      </c>
      <c r="C34" s="37">
        <f>C33*Assumptions!B49</f>
        <v/>
      </c>
      <c r="D34" s="37">
        <f>D33*Assumptions!B49</f>
        <v/>
      </c>
      <c r="E34" s="37">
        <f>E33*Assumptions!B49</f>
        <v/>
      </c>
      <c r="F34" s="37">
        <f>F33*Assumptions!B49</f>
        <v/>
      </c>
    </row>
    <row r="36" ht="15" customHeight="1" s="28">
      <c r="A36" s="32" t="inlineStr">
        <is>
          <t>Tarana CPE CAPEX</t>
        </is>
      </c>
      <c r="B36" s="37">
        <f>B31*Assumptions!B63</f>
        <v/>
      </c>
      <c r="C36" s="37">
        <f>(C31-B31)*Assumptions!B63</f>
        <v/>
      </c>
      <c r="D36" s="37">
        <f>(D31-C31)*Assumptions!B63</f>
        <v/>
      </c>
      <c r="E36" s="37">
        <f>(E31-D31)*Assumptions!B63</f>
        <v/>
      </c>
      <c r="F36" s="37">
        <f>(F31-E31)*Assumptions!B63</f>
        <v/>
      </c>
    </row>
    <row r="37" ht="15" customHeight="1" s="28">
      <c r="A37" s="32" t="inlineStr">
        <is>
          <t>Ketsen CPE CAPEX</t>
        </is>
      </c>
      <c r="B37" s="37">
        <f>B32*Assumptions!B66</f>
        <v/>
      </c>
      <c r="C37" s="37">
        <f>(C32-B32)*Assumptions!B66</f>
        <v/>
      </c>
      <c r="D37" s="37">
        <f>(D32-C32)*Assumptions!B66</f>
        <v/>
      </c>
      <c r="E37" s="37">
        <f>(E32-D32)*Assumptions!B66</f>
        <v/>
      </c>
      <c r="F37" s="37">
        <f>(F32-E32)*Assumptions!B66</f>
        <v/>
      </c>
    </row>
    <row r="38" ht="15" customHeight="1" s="28">
      <c r="A38" s="32" t="inlineStr">
        <is>
          <t>Total CPE CAPEX</t>
        </is>
      </c>
      <c r="B38" s="37">
        <f>B36+B37</f>
        <v/>
      </c>
      <c r="C38" s="37">
        <f>C36+C37</f>
        <v/>
      </c>
      <c r="D38" s="37">
        <f>D36+D37</f>
        <v/>
      </c>
      <c r="E38" s="37">
        <f>E36+E37</f>
        <v/>
      </c>
      <c r="F38" s="37">
        <f>F36+F37</f>
        <v/>
      </c>
    </row>
    <row r="39" ht="15" customHeight="1" s="28">
      <c r="A39" s="40" t="inlineStr">
        <is>
          <t>Total CAPEX</t>
        </is>
      </c>
      <c r="B39" s="37">
        <f>B25+B38</f>
        <v/>
      </c>
      <c r="C39" s="37">
        <f>C38</f>
        <v/>
      </c>
      <c r="D39" s="37">
        <f>D38</f>
        <v/>
      </c>
      <c r="E39" s="37">
        <f>E38</f>
        <v/>
      </c>
      <c r="F39" s="37">
        <f>F38</f>
        <v/>
      </c>
    </row>
    <row r="41" ht="15" customHeight="1" s="28">
      <c r="A41" s="30" t="inlineStr">
        <is>
          <t>OPEX DETAIL</t>
        </is>
      </c>
      <c r="B41" s="31" t="n"/>
      <c r="C41" s="31" t="n"/>
      <c r="D41" s="31" t="n"/>
      <c r="E41" s="31" t="n"/>
      <c r="F41" s="31" t="n"/>
      <c r="G41" s="31" t="n"/>
    </row>
    <row r="42" ht="15" customHeight="1" s="28">
      <c r="A42" s="32" t="inlineStr">
        <is>
          <t>Tower / Site Leases</t>
        </is>
      </c>
      <c r="B42" s="43">
        <f>B4*Assumptions!B82</f>
        <v/>
      </c>
      <c r="C42" s="43">
        <f>B4*Assumptions!B82*(1+Assumptions!B92)^1</f>
        <v/>
      </c>
      <c r="D42" s="43">
        <f>B4*Assumptions!B82*(1+Assumptions!B92)^2</f>
        <v/>
      </c>
      <c r="E42" s="43">
        <f>B4*Assumptions!B82*(1+Assumptions!B92)^3</f>
        <v/>
      </c>
      <c r="F42" s="43">
        <f>B4*Assumptions!B82*(1+Assumptions!B92)^4</f>
        <v/>
      </c>
    </row>
    <row r="43" ht="15" customHeight="1" s="28">
      <c r="A43" s="32" t="inlineStr">
        <is>
          <t>Tower Power</t>
        </is>
      </c>
      <c r="B43" s="43">
        <f>B4*Assumptions!B83</f>
        <v/>
      </c>
      <c r="C43" s="43">
        <f>B4*Assumptions!B83*(1+Assumptions!B92)^1</f>
        <v/>
      </c>
      <c r="D43" s="43">
        <f>B4*Assumptions!B83*(1+Assumptions!B92)^2</f>
        <v/>
      </c>
      <c r="E43" s="43">
        <f>B4*Assumptions!B83*(1+Assumptions!B92)^3</f>
        <v/>
      </c>
      <c r="F43" s="43">
        <f>B4*Assumptions!B83*(1+Assumptions!B92)^4</f>
        <v/>
      </c>
    </row>
    <row r="44" ht="15" customHeight="1" s="28">
      <c r="A44" s="32" t="inlineStr">
        <is>
          <t>NOC / Network Ops</t>
        </is>
      </c>
      <c r="B44" s="43">
        <f>Assumptions!B84</f>
        <v/>
      </c>
      <c r="C44" s="43">
        <f>Assumptions!B84*(1+Assumptions!B92)^1</f>
        <v/>
      </c>
      <c r="D44" s="43">
        <f>Assumptions!B84*(1+Assumptions!B92)^2</f>
        <v/>
      </c>
      <c r="E44" s="43">
        <f>Assumptions!B84*(1+Assumptions!B92)^3</f>
        <v/>
      </c>
      <c r="F44" s="43">
        <f>Assumptions!B84*(1+Assumptions!B92)^4</f>
        <v/>
      </c>
    </row>
    <row r="45" ht="15" customHeight="1" s="28">
      <c r="A45" s="32" t="inlineStr">
        <is>
          <t>Transport / Backhaul</t>
        </is>
      </c>
      <c r="B45" s="43">
        <f>B4*Assumptions!B85</f>
        <v/>
      </c>
      <c r="C45" s="43">
        <f>B4*Assumptions!B85*(1+Assumptions!B92)^1</f>
        <v/>
      </c>
      <c r="D45" s="43">
        <f>B4*Assumptions!B85*(1+Assumptions!B92)^2</f>
        <v/>
      </c>
      <c r="E45" s="43">
        <f>B4*Assumptions!B85*(1+Assumptions!B92)^3</f>
        <v/>
      </c>
      <c r="F45" s="43">
        <f>B4*Assumptions!B85*(1+Assumptions!B92)^4</f>
        <v/>
      </c>
    </row>
    <row r="46" ht="15" customHeight="1" s="28">
      <c r="A46" s="32" t="inlineStr">
        <is>
          <t>Field Maintenance</t>
        </is>
      </c>
      <c r="B46" s="43">
        <f>Assumptions!B86</f>
        <v/>
      </c>
      <c r="C46" s="43">
        <f>Assumptions!B86*(1+Assumptions!B92)^1</f>
        <v/>
      </c>
      <c r="D46" s="43">
        <f>Assumptions!B86*(1+Assumptions!B92)^2</f>
        <v/>
      </c>
      <c r="E46" s="43">
        <f>Assumptions!B86*(1+Assumptions!B92)^3</f>
        <v/>
      </c>
      <c r="F46" s="43">
        <f>Assumptions!B86*(1+Assumptions!B92)^4</f>
        <v/>
      </c>
    </row>
    <row r="47" ht="15" customHeight="1" s="28">
      <c r="A47" s="32" t="inlineStr">
        <is>
          <t>Customer Support / OSS-BSS</t>
        </is>
      </c>
      <c r="B47" s="43">
        <f>B33*Assumptions!B87</f>
        <v/>
      </c>
      <c r="C47" s="43">
        <f>C33*Assumptions!B87</f>
        <v/>
      </c>
      <c r="D47" s="43">
        <f>D33*Assumptions!B87</f>
        <v/>
      </c>
      <c r="E47" s="43">
        <f>E33*Assumptions!B87</f>
        <v/>
      </c>
      <c r="F47" s="43">
        <f>F33*Assumptions!B87</f>
        <v/>
      </c>
    </row>
    <row r="48" ht="15" customHeight="1" s="28">
      <c r="A48" s="32" t="inlineStr">
        <is>
          <t>SMS Management</t>
        </is>
      </c>
      <c r="B48" s="43">
        <f>B31*Assumptions!B88</f>
        <v/>
      </c>
      <c r="C48" s="43">
        <f>C31*Assumptions!B88</f>
        <v/>
      </c>
      <c r="D48" s="43">
        <f>D31*Assumptions!B88</f>
        <v/>
      </c>
      <c r="E48" s="43">
        <f>E31*Assumptions!B88</f>
        <v/>
      </c>
      <c r="F48" s="43">
        <f>F31*Assumptions!B88</f>
        <v/>
      </c>
    </row>
    <row r="49" ht="15" customHeight="1" s="28">
      <c r="A49" s="32" t="inlineStr">
        <is>
          <t>SAS / CBRS</t>
        </is>
      </c>
      <c r="B49" s="43">
        <f>B31*Assumptions!B89</f>
        <v/>
      </c>
      <c r="C49" s="43">
        <f>C31*Assumptions!B89</f>
        <v/>
      </c>
      <c r="D49" s="43">
        <f>D31*Assumptions!B89</f>
        <v/>
      </c>
      <c r="E49" s="43">
        <f>E31*Assumptions!B89</f>
        <v/>
      </c>
      <c r="F49" s="43">
        <f>F31*Assumptions!B89</f>
        <v/>
      </c>
    </row>
    <row r="50" ht="15" customHeight="1" s="28">
      <c r="A50" s="32" t="inlineStr">
        <is>
          <t>Insurance</t>
        </is>
      </c>
      <c r="B50" s="43">
        <f>Assumptions!B90</f>
        <v/>
      </c>
      <c r="C50" s="43">
        <f>Assumptions!B90*(1+Assumptions!B92)^1</f>
        <v/>
      </c>
      <c r="D50" s="43">
        <f>Assumptions!B90*(1+Assumptions!B92)^2</f>
        <v/>
      </c>
      <c r="E50" s="43">
        <f>Assumptions!B90*(1+Assumptions!B92)^3</f>
        <v/>
      </c>
      <c r="F50" s="43">
        <f>Assumptions!B90*(1+Assumptions!B92)^4</f>
        <v/>
      </c>
    </row>
    <row r="51" ht="15" customHeight="1" s="28">
      <c r="A51" s="32" t="inlineStr">
        <is>
          <t>Spares / Warranty Reserve</t>
        </is>
      </c>
      <c r="B51" s="43">
        <f>B25*Assumptions!B91</f>
        <v/>
      </c>
      <c r="C51" s="43">
        <f>B25*Assumptions!B91</f>
        <v/>
      </c>
      <c r="D51" s="43">
        <f>B25*Assumptions!B91</f>
        <v/>
      </c>
      <c r="E51" s="43">
        <f>B25*Assumptions!B91</f>
        <v/>
      </c>
      <c r="F51" s="43">
        <f>B25*Assumptions!B91</f>
        <v/>
      </c>
    </row>
    <row r="52" ht="15" customHeight="1" s="28">
      <c r="A52" s="40" t="inlineStr">
        <is>
          <t>Total OPEX</t>
        </is>
      </c>
      <c r="B52" s="37">
        <f>B42+B43+B44+B45+B46+B47+B48+B49+B50+B51</f>
        <v/>
      </c>
      <c r="C52" s="37">
        <f>C42+C43+C44+C45+C46+C47+C48+C49+C50+C51</f>
        <v/>
      </c>
      <c r="D52" s="37">
        <f>D42+D43+D44+D45+D46+D47+D48+D49+D50+D51</f>
        <v/>
      </c>
      <c r="E52" s="37">
        <f>E42+E43+E44+E45+E46+E47+E48+E49+E50+E51</f>
        <v/>
      </c>
      <c r="F52" s="37">
        <f>F42+F43+F44+F45+F46+F47+F48+F49+F50+F51</f>
        <v/>
      </c>
    </row>
    <row r="54" ht="15" customHeight="1" s="28">
      <c r="A54" s="40" t="inlineStr">
        <is>
          <t>EBITDA</t>
        </is>
      </c>
      <c r="B54" s="46">
        <f>B34-B52</f>
        <v/>
      </c>
      <c r="C54" s="46">
        <f>C34-C52</f>
        <v/>
      </c>
      <c r="D54" s="46">
        <f>D34-D52</f>
        <v/>
      </c>
      <c r="E54" s="46">
        <f>E34-E52</f>
        <v/>
      </c>
      <c r="F54" s="46">
        <f>F34-F52</f>
        <v/>
      </c>
    </row>
    <row r="55" ht="15" customHeight="1" s="28">
      <c r="A55" s="32" t="inlineStr">
        <is>
          <t>EBITDA Margin</t>
        </is>
      </c>
      <c r="B55" s="47">
        <f>IF(B34=0,0,B54/B34)</f>
        <v/>
      </c>
      <c r="C55" s="47">
        <f>IF(C34=0,0,C54/C34)</f>
        <v/>
      </c>
      <c r="D55" s="47">
        <f>IF(D34=0,0,D54/D34)</f>
        <v/>
      </c>
      <c r="E55" s="47">
        <f>IF(E34=0,0,E54/E34)</f>
        <v/>
      </c>
      <c r="F55" s="47">
        <f>IF(F34=0,0,F54/F34)</f>
        <v/>
      </c>
    </row>
    <row r="57" ht="15" customHeight="1" s="28">
      <c r="A57" s="30" t="inlineStr">
        <is>
          <t>BEAD FUNDING</t>
        </is>
      </c>
      <c r="B57" s="31" t="n"/>
      <c r="C57" s="31" t="n"/>
      <c r="D57" s="31" t="n"/>
      <c r="E57" s="31" t="n"/>
      <c r="F57" s="31" t="n"/>
      <c r="G57" s="31" t="n"/>
    </row>
    <row r="58" ht="15" customHeight="1" s="28">
      <c r="A58" s="32" t="inlineStr">
        <is>
          <t>BEAD Draw (net of retainage)</t>
        </is>
      </c>
      <c r="B58" s="43">
        <f>Assumptions!B36*Assumptions!B39</f>
        <v/>
      </c>
      <c r="C58" s="43">
        <f>Assumptions!B36*Assumptions!B40</f>
        <v/>
      </c>
      <c r="D58" s="43">
        <f>Assumptions!B36*Assumptions!B41</f>
        <v/>
      </c>
      <c r="E58" s="43">
        <f>Assumptions!B36*Assumptions!B42+Assumptions!B34*Assumptions!B35</f>
        <v/>
      </c>
      <c r="F58" s="36" t="n">
        <v>0</v>
      </c>
    </row>
    <row r="59" ht="15" customHeight="1" s="28">
      <c r="A59" s="40" t="inlineStr">
        <is>
          <t>Free Cash Flow (EBITDA - CAPEX + BEAD)</t>
        </is>
      </c>
      <c r="B59" s="46">
        <f>B54-B39+B58</f>
        <v/>
      </c>
      <c r="C59" s="46">
        <f>C54-C39+C58</f>
        <v/>
      </c>
      <c r="D59" s="46">
        <f>D54-D39+D58</f>
        <v/>
      </c>
      <c r="E59" s="46">
        <f>E54-E39+E58</f>
        <v/>
      </c>
      <c r="F59" s="46">
        <f>F54-F39+F58</f>
        <v/>
      </c>
    </row>
    <row r="60" ht="15" customHeight="1" s="28">
      <c r="A60" s="32" t="inlineStr">
        <is>
          <t>Cumulative FCF</t>
        </is>
      </c>
      <c r="B60" s="46">
        <f>B59</f>
        <v/>
      </c>
      <c r="C60" s="46">
        <f>B60+C59</f>
        <v/>
      </c>
      <c r="D60" s="46">
        <f>C60+D59</f>
        <v/>
      </c>
      <c r="E60" s="46">
        <f>D60+E59</f>
        <v/>
      </c>
      <c r="F60" s="46">
        <f>E60+F59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7AE60"/>
    <outlinePr summaryBelow="1" summaryRight="1"/>
    <pageSetUpPr fitToPage="0"/>
  </sheetPr>
  <dimension ref="A1:G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27" min="1" max="1"/>
    <col width="16" customWidth="1" style="27" min="2" max="7"/>
  </cols>
  <sheetData>
    <row r="1" ht="17.25" customHeight="1" s="28">
      <c r="A1" s="29" t="inlineStr">
        <is>
          <t>WeLink AZ BEAD - Optimized Design (24 Coloc + 77 New)</t>
        </is>
      </c>
    </row>
    <row r="3" ht="15" customHeight="1" s="28">
      <c r="A3" s="30" t="inlineStr">
        <is>
          <t>DESIGN SUMMARY</t>
        </is>
      </c>
      <c r="B3" s="31" t="n"/>
      <c r="C3" s="31" t="n"/>
      <c r="D3" s="31" t="n"/>
      <c r="E3" s="31" t="n"/>
      <c r="F3" s="31" t="n"/>
      <c r="G3" s="31" t="n"/>
    </row>
    <row r="4" ht="15" customHeight="1" s="28">
      <c r="A4" s="32" t="inlineStr">
        <is>
          <t>Colocation Sites</t>
        </is>
      </c>
      <c r="B4" s="33" t="n">
        <v>24</v>
      </c>
    </row>
    <row r="5" ht="15" customHeight="1" s="28">
      <c r="A5" s="32" t="inlineStr">
        <is>
          <t>New Build Sites</t>
        </is>
      </c>
      <c r="B5" s="33" t="n">
        <v>77</v>
      </c>
    </row>
    <row r="6" ht="15" customHeight="1" s="28">
      <c r="A6" s="32" t="inlineStr">
        <is>
          <t>Total Sites</t>
        </is>
      </c>
      <c r="B6" s="35">
        <f>B4+B5</f>
        <v/>
      </c>
    </row>
    <row r="7" ht="15" customHeight="1" s="28">
      <c r="A7" s="32" t="inlineStr">
        <is>
          <t>Tarana G2 Sites</t>
        </is>
      </c>
      <c r="B7" s="33" t="n">
        <v>88</v>
      </c>
    </row>
    <row r="8" ht="15" customHeight="1" s="28">
      <c r="A8" s="32" t="inlineStr">
        <is>
          <t>Ketsen Mesh Sites</t>
        </is>
      </c>
      <c r="B8" s="33" t="n">
        <v>13</v>
      </c>
    </row>
    <row r="9" ht="15" customHeight="1" s="28">
      <c r="A9" s="32" t="inlineStr">
        <is>
          <t>Tarana G2 Access Sectors</t>
        </is>
      </c>
      <c r="B9" s="33" t="n">
        <v>102</v>
      </c>
    </row>
    <row r="10" ht="15" customHeight="1" s="28">
      <c r="A10" s="32" t="inlineStr">
        <is>
          <t>Tarana P2P BH Sectors</t>
        </is>
      </c>
      <c r="B10" s="33" t="n">
        <v>13</v>
      </c>
    </row>
    <row r="11" ht="15" customHeight="1" s="28">
      <c r="A11" s="32" t="inlineStr">
        <is>
          <t>Total Sectors</t>
        </is>
      </c>
      <c r="B11" s="35">
        <f>B9+B10</f>
        <v/>
      </c>
    </row>
    <row r="12" ht="15" customHeight="1" s="28">
      <c r="A12" s="32" t="inlineStr">
        <is>
          <t>Ketsen Gateways</t>
        </is>
      </c>
      <c r="B12" s="33" t="n">
        <v>13</v>
      </c>
    </row>
    <row r="13" ht="15" customHeight="1" s="28">
      <c r="A13" s="32" t="inlineStr">
        <is>
          <t>BSLs Assigned (Tarana)</t>
        </is>
      </c>
      <c r="B13" s="42">
        <f>Assumptions!B5</f>
        <v/>
      </c>
    </row>
    <row r="14" ht="15" customHeight="1" s="28">
      <c r="A14" s="32" t="inlineStr">
        <is>
          <t>BSLs Assigned (Ketsen)</t>
        </is>
      </c>
      <c r="B14" s="42">
        <f>Assumptions!B6</f>
        <v/>
      </c>
    </row>
    <row r="15" ht="15" customHeight="1" s="28">
      <c r="A15" s="32" t="inlineStr">
        <is>
          <t>Total BSLs Assigned</t>
        </is>
      </c>
      <c r="B15" s="35">
        <f>B13+B14</f>
        <v/>
      </c>
    </row>
    <row r="16" ht="15" customHeight="1" s="28">
      <c r="A16" s="32" t="inlineStr">
        <is>
          <t>BSL Gap</t>
        </is>
      </c>
      <c r="B16" s="42">
        <f>Assumptions!B4-B15</f>
        <v/>
      </c>
    </row>
    <row r="18" ht="15" customHeight="1" s="28">
      <c r="A18" s="30" t="inlineStr">
        <is>
          <t>INFRASTRUCTURE CAPEX (Architecture-Driven)</t>
        </is>
      </c>
      <c r="B18" s="31" t="n"/>
      <c r="C18" s="31" t="n"/>
      <c r="D18" s="31" t="n"/>
      <c r="E18" s="31" t="n"/>
      <c r="F18" s="31" t="n"/>
      <c r="G18" s="31" t="n"/>
    </row>
    <row r="19" ht="15" customHeight="1" s="28">
      <c r="A19" s="32" t="inlineStr">
        <is>
          <t>Tarana G2 BN Equipment (102 access sectors)</t>
        </is>
      </c>
      <c r="B19" s="43">
        <f>B9*Assumptions!B69</f>
        <v/>
      </c>
      <c r="C19" s="34" t="inlineStr">
        <is>
          <t>102 access sectors * $21K</t>
        </is>
      </c>
    </row>
    <row r="20" ht="15" customHeight="1" s="28">
      <c r="A20" s="32" t="inlineStr">
        <is>
          <t>Tarana P2P BH Radios (13 sectors)</t>
        </is>
      </c>
      <c r="B20" s="43">
        <f>B10*Assumptions!B71</f>
        <v/>
      </c>
      <c r="C20" s="34" t="inlineStr">
        <is>
          <t>13 BH sectors * $11,634</t>
        </is>
      </c>
    </row>
    <row r="21" ht="15" customHeight="1" s="28">
      <c r="A21" s="32" t="inlineStr">
        <is>
          <t>Per-Site Accessories</t>
        </is>
      </c>
      <c r="B21" s="43">
        <f>B6*Assumptions!B70</f>
        <v/>
      </c>
      <c r="C21" s="34" t="inlineStr">
        <is>
          <t>101 sites * $1,446</t>
        </is>
      </c>
    </row>
    <row r="22" ht="15" customHeight="1" s="28">
      <c r="A22" s="32" t="inlineStr">
        <is>
          <t>Ketsen Gateways</t>
        </is>
      </c>
      <c r="B22" s="43">
        <f>B12*Assumptions!B72</f>
        <v/>
      </c>
      <c r="C22" s="34" t="inlineStr">
        <is>
          <t>13 * $2,000</t>
        </is>
      </c>
    </row>
    <row r="23" ht="15" customHeight="1" s="28">
      <c r="A23" s="32" t="inlineStr">
        <is>
          <t>Colocation Setup</t>
        </is>
      </c>
      <c r="B23" s="43">
        <f>B4*Assumptions!B76</f>
        <v/>
      </c>
      <c r="C23" s="34" t="inlineStr">
        <is>
          <t>24 * $25K</t>
        </is>
      </c>
    </row>
    <row r="24" ht="15" customHeight="1" s="28">
      <c r="A24" s="32" t="inlineStr">
        <is>
          <t>New Tower Build</t>
        </is>
      </c>
      <c r="B24" s="43">
        <f>B5*Assumptions!B75</f>
        <v/>
      </c>
      <c r="C24" s="34" t="inlineStr">
        <is>
          <t>77 * $50K</t>
        </is>
      </c>
    </row>
    <row r="25" ht="15" customHeight="1" s="28">
      <c r="A25" s="32" t="inlineStr">
        <is>
          <t>Make-Ready / Power</t>
        </is>
      </c>
      <c r="B25" s="43">
        <f>B6*Assumptions!B77</f>
        <v/>
      </c>
      <c r="C25" s="34" t="inlineStr">
        <is>
          <t>101 * $10K</t>
        </is>
      </c>
    </row>
    <row r="26" ht="15" customHeight="1" s="28">
      <c r="A26" s="32" t="inlineStr">
        <is>
          <t>Subtotal Pre-Contingency</t>
        </is>
      </c>
      <c r="B26" s="37">
        <f>SUM(B19:B25)</f>
        <v/>
      </c>
    </row>
    <row r="27" ht="15" customHeight="1" s="28">
      <c r="A27" s="32" t="inlineStr">
        <is>
          <t>Contingency</t>
        </is>
      </c>
      <c r="B27" s="43">
        <f>B26*Assumptions!B78</f>
        <v/>
      </c>
    </row>
    <row r="28" ht="15" customHeight="1" s="28">
      <c r="A28" s="32" t="inlineStr">
        <is>
          <t>Total Infrastructure CAPEX</t>
        </is>
      </c>
      <c r="B28" s="37">
        <f>B26+B27</f>
        <v/>
      </c>
    </row>
    <row r="30" ht="15" customHeight="1" s="28">
      <c r="A30" s="30" t="inlineStr">
        <is>
          <t>5-YEAR P&amp;L PROJECTION</t>
        </is>
      </c>
      <c r="B30" s="31" t="n"/>
      <c r="C30" s="31" t="n"/>
      <c r="D30" s="31" t="n"/>
      <c r="E30" s="31" t="n"/>
      <c r="F30" s="31" t="n"/>
      <c r="G30" s="31" t="n"/>
    </row>
    <row r="31" ht="15" customHeight="1" s="28">
      <c r="A31" s="40" t="inlineStr">
        <is>
          <t>Metric</t>
        </is>
      </c>
      <c r="B31" s="44" t="inlineStr">
        <is>
          <t>Year 1</t>
        </is>
      </c>
      <c r="C31" s="44" t="inlineStr">
        <is>
          <t>Year 2</t>
        </is>
      </c>
      <c r="D31" s="44" t="inlineStr">
        <is>
          <t>Year 3</t>
        </is>
      </c>
      <c r="E31" s="44" t="inlineStr">
        <is>
          <t>Year 4</t>
        </is>
      </c>
      <c r="F31" s="44" t="inlineStr">
        <is>
          <t>Year 5</t>
        </is>
      </c>
    </row>
    <row r="32" ht="15" customHeight="1" s="28">
      <c r="A32" s="32" t="inlineStr">
        <is>
          <t>Tarana Take Rate</t>
        </is>
      </c>
      <c r="B32" s="45">
        <f>Assumptions!B53</f>
        <v/>
      </c>
      <c r="C32" s="45">
        <f>Assumptions!B54</f>
        <v/>
      </c>
      <c r="D32" s="45">
        <f>Assumptions!B55</f>
        <v/>
      </c>
      <c r="E32" s="45">
        <f>Assumptions!B56</f>
        <v/>
      </c>
      <c r="F32" s="45">
        <f>Assumptions!B57</f>
        <v/>
      </c>
    </row>
    <row r="33" ht="15" customHeight="1" s="28">
      <c r="A33" s="32" t="inlineStr">
        <is>
          <t>Ketsen Take Rate</t>
        </is>
      </c>
      <c r="B33" s="45">
        <f>Assumptions!C53</f>
        <v/>
      </c>
      <c r="C33" s="45">
        <f>Assumptions!C54</f>
        <v/>
      </c>
      <c r="D33" s="45">
        <f>Assumptions!C55</f>
        <v/>
      </c>
      <c r="E33" s="45">
        <f>Assumptions!C56</f>
        <v/>
      </c>
      <c r="F33" s="45">
        <f>Assumptions!C57</f>
        <v/>
      </c>
    </row>
    <row r="34" ht="15" customHeight="1" s="28">
      <c r="A34" s="32" t="inlineStr">
        <is>
          <t>Tarana Subscribers</t>
        </is>
      </c>
      <c r="B34" s="35">
        <f>B13*B32</f>
        <v/>
      </c>
      <c r="C34" s="35">
        <f>B13*C32</f>
        <v/>
      </c>
      <c r="D34" s="35">
        <f>B13*D32</f>
        <v/>
      </c>
      <c r="E34" s="35">
        <f>B13*E32</f>
        <v/>
      </c>
      <c r="F34" s="35">
        <f>B13*F32</f>
        <v/>
      </c>
    </row>
    <row r="35" ht="15" customHeight="1" s="28">
      <c r="A35" s="32" t="inlineStr">
        <is>
          <t>Ketsen Subscribers</t>
        </is>
      </c>
      <c r="B35" s="35">
        <f>B14*B33</f>
        <v/>
      </c>
      <c r="C35" s="35">
        <f>B14*C33</f>
        <v/>
      </c>
      <c r="D35" s="35">
        <f>B14*D33</f>
        <v/>
      </c>
      <c r="E35" s="35">
        <f>B14*E33</f>
        <v/>
      </c>
      <c r="F35" s="35">
        <f>B14*F33</f>
        <v/>
      </c>
    </row>
    <row r="36" ht="15" customHeight="1" s="28">
      <c r="A36" s="40" t="inlineStr">
        <is>
          <t>Total Subscribers</t>
        </is>
      </c>
      <c r="B36" s="35">
        <f>B34+B35</f>
        <v/>
      </c>
      <c r="C36" s="35">
        <f>C34+C35</f>
        <v/>
      </c>
      <c r="D36" s="35">
        <f>D34+D35</f>
        <v/>
      </c>
      <c r="E36" s="35">
        <f>E34+E35</f>
        <v/>
      </c>
      <c r="F36" s="35">
        <f>F34+F35</f>
        <v/>
      </c>
    </row>
    <row r="37" ht="15" customHeight="1" s="28">
      <c r="A37" s="40" t="inlineStr">
        <is>
          <t>Revenue</t>
        </is>
      </c>
      <c r="B37" s="37">
        <f>B36*Assumptions!B49</f>
        <v/>
      </c>
      <c r="C37" s="37">
        <f>C36*Assumptions!B49</f>
        <v/>
      </c>
      <c r="D37" s="37">
        <f>D36*Assumptions!B49</f>
        <v/>
      </c>
      <c r="E37" s="37">
        <f>E36*Assumptions!B49</f>
        <v/>
      </c>
      <c r="F37" s="37">
        <f>F36*Assumptions!B49</f>
        <v/>
      </c>
    </row>
    <row r="39" ht="15" customHeight="1" s="28">
      <c r="A39" s="32" t="inlineStr">
        <is>
          <t>Tarana CPE CAPEX</t>
        </is>
      </c>
      <c r="B39" s="37">
        <f>B34*Assumptions!B63</f>
        <v/>
      </c>
      <c r="C39" s="37">
        <f>(C34-B34)*Assumptions!B63</f>
        <v/>
      </c>
      <c r="D39" s="37">
        <f>(D34-C34)*Assumptions!B63</f>
        <v/>
      </c>
      <c r="E39" s="37">
        <f>(E34-D34)*Assumptions!B63</f>
        <v/>
      </c>
      <c r="F39" s="37">
        <f>(F34-E34)*Assumptions!B63</f>
        <v/>
      </c>
    </row>
    <row r="40" ht="15" customHeight="1" s="28">
      <c r="A40" s="32" t="inlineStr">
        <is>
          <t>Ketsen CPE CAPEX</t>
        </is>
      </c>
      <c r="B40" s="37">
        <f>B35*Assumptions!B66</f>
        <v/>
      </c>
      <c r="C40" s="37">
        <f>(C35-B35)*Assumptions!B66</f>
        <v/>
      </c>
      <c r="D40" s="37">
        <f>(D35-C35)*Assumptions!B66</f>
        <v/>
      </c>
      <c r="E40" s="37">
        <f>(E35-D35)*Assumptions!B66</f>
        <v/>
      </c>
      <c r="F40" s="37">
        <f>(F35-E35)*Assumptions!B66</f>
        <v/>
      </c>
    </row>
    <row r="41" ht="15" customHeight="1" s="28">
      <c r="A41" s="32" t="inlineStr">
        <is>
          <t>Total CPE CAPEX</t>
        </is>
      </c>
      <c r="B41" s="37">
        <f>B39+B40</f>
        <v/>
      </c>
      <c r="C41" s="37">
        <f>C39+C40</f>
        <v/>
      </c>
      <c r="D41" s="37">
        <f>D39+D40</f>
        <v/>
      </c>
      <c r="E41" s="37">
        <f>E39+E40</f>
        <v/>
      </c>
      <c r="F41" s="37">
        <f>F39+F40</f>
        <v/>
      </c>
    </row>
    <row r="42" ht="15" customHeight="1" s="28">
      <c r="A42" s="40" t="inlineStr">
        <is>
          <t>Total CAPEX</t>
        </is>
      </c>
      <c r="B42" s="37">
        <f>B28+B41</f>
        <v/>
      </c>
      <c r="C42" s="37">
        <f>C41</f>
        <v/>
      </c>
      <c r="D42" s="37">
        <f>D41</f>
        <v/>
      </c>
      <c r="E42" s="37">
        <f>E41</f>
        <v/>
      </c>
      <c r="F42" s="37">
        <f>F41</f>
        <v/>
      </c>
    </row>
    <row r="44" ht="15" customHeight="1" s="28">
      <c r="A44" s="30" t="inlineStr">
        <is>
          <t>OPEX DETAIL</t>
        </is>
      </c>
      <c r="B44" s="31" t="n"/>
      <c r="C44" s="31" t="n"/>
      <c r="D44" s="31" t="n"/>
      <c r="E44" s="31" t="n"/>
      <c r="F44" s="31" t="n"/>
      <c r="G44" s="31" t="n"/>
    </row>
    <row r="45" ht="15" customHeight="1" s="28">
      <c r="A45" s="32" t="inlineStr">
        <is>
          <t>Tower / Site Leases</t>
        </is>
      </c>
      <c r="B45" s="43">
        <f>B4*Assumptions!B81+B5*Assumptions!B82</f>
        <v/>
      </c>
      <c r="C45" s="43">
        <f>B4*Assumptions!B81+B5*Assumptions!B82*(1+Assumptions!B92)^1</f>
        <v/>
      </c>
      <c r="D45" s="43">
        <f>B4*Assumptions!B81+B5*Assumptions!B82*(1+Assumptions!B92)^2</f>
        <v/>
      </c>
      <c r="E45" s="43">
        <f>B4*Assumptions!B81+B5*Assumptions!B82*(1+Assumptions!B92)^3</f>
        <v/>
      </c>
      <c r="F45" s="43">
        <f>B4*Assumptions!B81+B5*Assumptions!B82*(1+Assumptions!B92)^4</f>
        <v/>
      </c>
    </row>
    <row r="46" ht="15" customHeight="1" s="28">
      <c r="A46" s="32" t="inlineStr">
        <is>
          <t>Tower Power</t>
        </is>
      </c>
      <c r="B46" s="43">
        <f>B6*Assumptions!B83</f>
        <v/>
      </c>
      <c r="C46" s="43">
        <f>B6*Assumptions!B83*(1+Assumptions!B92)^1</f>
        <v/>
      </c>
      <c r="D46" s="43">
        <f>B6*Assumptions!B83*(1+Assumptions!B92)^2</f>
        <v/>
      </c>
      <c r="E46" s="43">
        <f>B6*Assumptions!B83*(1+Assumptions!B92)^3</f>
        <v/>
      </c>
      <c r="F46" s="43">
        <f>B6*Assumptions!B83*(1+Assumptions!B92)^4</f>
        <v/>
      </c>
    </row>
    <row r="47" ht="15" customHeight="1" s="28">
      <c r="A47" s="32" t="inlineStr">
        <is>
          <t>NOC / Network Ops</t>
        </is>
      </c>
      <c r="B47" s="43">
        <f>Assumptions!B84</f>
        <v/>
      </c>
      <c r="C47" s="43">
        <f>Assumptions!B84*(1+Assumptions!B92)^1</f>
        <v/>
      </c>
      <c r="D47" s="43">
        <f>Assumptions!B84*(1+Assumptions!B92)^2</f>
        <v/>
      </c>
      <c r="E47" s="43">
        <f>Assumptions!B84*(1+Assumptions!B92)^3</f>
        <v/>
      </c>
      <c r="F47" s="43">
        <f>Assumptions!B84*(1+Assumptions!B92)^4</f>
        <v/>
      </c>
    </row>
    <row r="48" ht="15" customHeight="1" s="28">
      <c r="A48" s="32" t="inlineStr">
        <is>
          <t>Transport / Backhaul</t>
        </is>
      </c>
      <c r="B48" s="43">
        <f>B6*Assumptions!B85</f>
        <v/>
      </c>
      <c r="C48" s="43">
        <f>B6*Assumptions!B85*(1+Assumptions!B92)^1</f>
        <v/>
      </c>
      <c r="D48" s="43">
        <f>B6*Assumptions!B85*(1+Assumptions!B92)^2</f>
        <v/>
      </c>
      <c r="E48" s="43">
        <f>B6*Assumptions!B85*(1+Assumptions!B92)^3</f>
        <v/>
      </c>
      <c r="F48" s="43">
        <f>B6*Assumptions!B85*(1+Assumptions!B92)^4</f>
        <v/>
      </c>
    </row>
    <row r="49" ht="15" customHeight="1" s="28">
      <c r="A49" s="32" t="inlineStr">
        <is>
          <t>Field Maintenance</t>
        </is>
      </c>
      <c r="B49" s="43">
        <f>Assumptions!B86</f>
        <v/>
      </c>
      <c r="C49" s="43">
        <f>Assumptions!B86*(1+Assumptions!B92)^1</f>
        <v/>
      </c>
      <c r="D49" s="43">
        <f>Assumptions!B86*(1+Assumptions!B92)^2</f>
        <v/>
      </c>
      <c r="E49" s="43">
        <f>Assumptions!B86*(1+Assumptions!B92)^3</f>
        <v/>
      </c>
      <c r="F49" s="43">
        <f>Assumptions!B86*(1+Assumptions!B92)^4</f>
        <v/>
      </c>
    </row>
    <row r="50" ht="15" customHeight="1" s="28">
      <c r="A50" s="32" t="inlineStr">
        <is>
          <t>Customer Support / OSS-BSS</t>
        </is>
      </c>
      <c r="B50" s="43">
        <f>B36*Assumptions!B87</f>
        <v/>
      </c>
      <c r="C50" s="43">
        <f>C36*Assumptions!B87</f>
        <v/>
      </c>
      <c r="D50" s="43">
        <f>D36*Assumptions!B87</f>
        <v/>
      </c>
      <c r="E50" s="43">
        <f>E36*Assumptions!B87</f>
        <v/>
      </c>
      <c r="F50" s="43">
        <f>F36*Assumptions!B87</f>
        <v/>
      </c>
    </row>
    <row r="51" ht="15" customHeight="1" s="28">
      <c r="A51" s="32" t="inlineStr">
        <is>
          <t>SMS Management</t>
        </is>
      </c>
      <c r="B51" s="43">
        <f>B34*Assumptions!B88</f>
        <v/>
      </c>
      <c r="C51" s="43">
        <f>C34*Assumptions!B88</f>
        <v/>
      </c>
      <c r="D51" s="43">
        <f>D34*Assumptions!B88</f>
        <v/>
      </c>
      <c r="E51" s="43">
        <f>E34*Assumptions!B88</f>
        <v/>
      </c>
      <c r="F51" s="43">
        <f>F34*Assumptions!B88</f>
        <v/>
      </c>
    </row>
    <row r="52" ht="15" customHeight="1" s="28">
      <c r="A52" s="32" t="inlineStr">
        <is>
          <t>SAS / CBRS</t>
        </is>
      </c>
      <c r="B52" s="43">
        <f>B34*Assumptions!B89</f>
        <v/>
      </c>
      <c r="C52" s="43">
        <f>C34*Assumptions!B89</f>
        <v/>
      </c>
      <c r="D52" s="43">
        <f>D34*Assumptions!B89</f>
        <v/>
      </c>
      <c r="E52" s="43">
        <f>E34*Assumptions!B89</f>
        <v/>
      </c>
      <c r="F52" s="43">
        <f>F34*Assumptions!B89</f>
        <v/>
      </c>
    </row>
    <row r="53" ht="15" customHeight="1" s="28">
      <c r="A53" s="32" t="inlineStr">
        <is>
          <t>Insurance</t>
        </is>
      </c>
      <c r="B53" s="43">
        <f>Assumptions!B90</f>
        <v/>
      </c>
      <c r="C53" s="43">
        <f>Assumptions!B90*(1+Assumptions!B92)^1</f>
        <v/>
      </c>
      <c r="D53" s="43">
        <f>Assumptions!B90*(1+Assumptions!B92)^2</f>
        <v/>
      </c>
      <c r="E53" s="43">
        <f>Assumptions!B90*(1+Assumptions!B92)^3</f>
        <v/>
      </c>
      <c r="F53" s="43">
        <f>Assumptions!B90*(1+Assumptions!B92)^4</f>
        <v/>
      </c>
    </row>
    <row r="54" ht="15" customHeight="1" s="28">
      <c r="A54" s="32" t="inlineStr">
        <is>
          <t>Spares / Warranty Reserve</t>
        </is>
      </c>
      <c r="B54" s="43">
        <f>B28*Assumptions!B91</f>
        <v/>
      </c>
      <c r="C54" s="43">
        <f>B28*Assumptions!B91</f>
        <v/>
      </c>
      <c r="D54" s="43">
        <f>B28*Assumptions!B91</f>
        <v/>
      </c>
      <c r="E54" s="43">
        <f>B28*Assumptions!B91</f>
        <v/>
      </c>
      <c r="F54" s="43">
        <f>B28*Assumptions!B91</f>
        <v/>
      </c>
    </row>
    <row r="55" ht="15" customHeight="1" s="28">
      <c r="A55" s="40" t="inlineStr">
        <is>
          <t>Total OPEX</t>
        </is>
      </c>
      <c r="B55" s="37">
        <f>B45+B46+B47+B48+B49+B50+B51+B52+B53+B54</f>
        <v/>
      </c>
      <c r="C55" s="37">
        <f>C45+C46+C47+C48+C49+C50+C51+C52+C53+C54</f>
        <v/>
      </c>
      <c r="D55" s="37">
        <f>D45+D46+D47+D48+D49+D50+D51+D52+D53+D54</f>
        <v/>
      </c>
      <c r="E55" s="37">
        <f>E45+E46+E47+E48+E49+E50+E51+E52+E53+E54</f>
        <v/>
      </c>
      <c r="F55" s="37">
        <f>F45+F46+F47+F48+F49+F50+F51+F52+F53+F54</f>
        <v/>
      </c>
    </row>
    <row r="57" ht="15" customHeight="1" s="28">
      <c r="A57" s="40" t="inlineStr">
        <is>
          <t>EBITDA</t>
        </is>
      </c>
      <c r="B57" s="46">
        <f>B37-B55</f>
        <v/>
      </c>
      <c r="C57" s="46">
        <f>C37-C55</f>
        <v/>
      </c>
      <c r="D57" s="46">
        <f>D37-D55</f>
        <v/>
      </c>
      <c r="E57" s="46">
        <f>E37-E55</f>
        <v/>
      </c>
      <c r="F57" s="46">
        <f>F37-F55</f>
        <v/>
      </c>
    </row>
    <row r="58" ht="15" customHeight="1" s="28">
      <c r="A58" s="32" t="inlineStr">
        <is>
          <t>EBITDA Margin</t>
        </is>
      </c>
      <c r="B58" s="47">
        <f>IF(B37=0,0,B57/B37)</f>
        <v/>
      </c>
      <c r="C58" s="47">
        <f>IF(C37=0,0,C57/C37)</f>
        <v/>
      </c>
      <c r="D58" s="47">
        <f>IF(D37=0,0,D57/D37)</f>
        <v/>
      </c>
      <c r="E58" s="47">
        <f>IF(E37=0,0,E57/E37)</f>
        <v/>
      </c>
      <c r="F58" s="47">
        <f>IF(F37=0,0,F57/F37)</f>
        <v/>
      </c>
    </row>
    <row r="60" ht="15" customHeight="1" s="28">
      <c r="A60" s="30" t="inlineStr">
        <is>
          <t>BEAD FUNDING</t>
        </is>
      </c>
      <c r="B60" s="31" t="n"/>
      <c r="C60" s="31" t="n"/>
      <c r="D60" s="31" t="n"/>
      <c r="E60" s="31" t="n"/>
      <c r="F60" s="31" t="n"/>
      <c r="G60" s="31" t="n"/>
    </row>
    <row r="61" ht="15" customHeight="1" s="28">
      <c r="A61" s="32" t="inlineStr">
        <is>
          <t>BEAD Draw (net of retainage)</t>
        </is>
      </c>
      <c r="B61" s="43">
        <f>Assumptions!B36*Assumptions!B39</f>
        <v/>
      </c>
      <c r="C61" s="43">
        <f>Assumptions!B36*Assumptions!B40</f>
        <v/>
      </c>
      <c r="D61" s="43">
        <f>Assumptions!B36*Assumptions!B41</f>
        <v/>
      </c>
      <c r="E61" s="43">
        <f>Assumptions!B36*Assumptions!B42+Assumptions!B34*Assumptions!B35</f>
        <v/>
      </c>
      <c r="F61" s="36" t="n">
        <v>0</v>
      </c>
    </row>
    <row r="62" ht="15" customHeight="1" s="28">
      <c r="A62" s="40" t="inlineStr">
        <is>
          <t>Free Cash Flow (EBITDA - CAPEX + BEAD)</t>
        </is>
      </c>
      <c r="B62" s="46">
        <f>B57-B42+B61</f>
        <v/>
      </c>
      <c r="C62" s="46">
        <f>C57-C42+C61</f>
        <v/>
      </c>
      <c r="D62" s="46">
        <f>D57-D42+D61</f>
        <v/>
      </c>
      <c r="E62" s="46">
        <f>E57-E42+E61</f>
        <v/>
      </c>
      <c r="F62" s="46">
        <f>F57-F42+F61</f>
        <v/>
      </c>
    </row>
    <row r="63" ht="15" customHeight="1" s="28">
      <c r="A63" s="32" t="inlineStr">
        <is>
          <t>Cumulative FCF</t>
        </is>
      </c>
      <c r="B63" s="46">
        <f>B62</f>
        <v/>
      </c>
      <c r="C63" s="46">
        <f>B63+C62</f>
        <v/>
      </c>
      <c r="D63" s="46">
        <f>C63+D62</f>
        <v/>
      </c>
      <c r="E63" s="46">
        <f>D63+E62</f>
        <v/>
      </c>
      <c r="F63" s="46">
        <f>E63+F62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5" customWidth="1" style="28" min="1" max="1"/>
    <col width="18" customWidth="1" style="28" min="2" max="2"/>
    <col width="15" customWidth="1" style="28" min="3" max="3"/>
    <col width="15" customWidth="1" style="28" min="4" max="4"/>
    <col width="15" customWidth="1" style="28" min="5" max="5"/>
    <col width="15" customWidth="1" style="28" min="6" max="6"/>
    <col width="15" customWidth="1" style="28" min="7" max="7"/>
  </cols>
  <sheetData>
    <row r="1">
      <c r="A1" s="48" t="inlineStr">
        <is>
          <t>Neil Hybrid Design Scenario</t>
        </is>
      </c>
    </row>
    <row r="3">
      <c r="A3" s="49" t="inlineStr">
        <is>
          <t>SITE CONFIGURATION</t>
        </is>
      </c>
    </row>
    <row r="4">
      <c r="A4" s="50" t="inlineStr">
        <is>
          <t>Neil Anchor Sites (active)</t>
        </is>
      </c>
      <c r="B4" s="51" t="n">
        <v>24</v>
      </c>
    </row>
    <row r="5">
      <c r="A5" s="50" t="inlineStr">
        <is>
          <t xml:space="preserve">  ELNK Building Colocations</t>
        </is>
      </c>
      <c r="B5" s="51" t="n">
        <v>7</v>
      </c>
    </row>
    <row r="6">
      <c r="A6" s="50" t="inlineStr">
        <is>
          <t xml:space="preserve">  ASR Tower Colocations</t>
        </is>
      </c>
      <c r="B6" s="51" t="n">
        <v>8</v>
      </c>
    </row>
    <row r="7">
      <c r="A7" s="50" t="inlineStr">
        <is>
          <t xml:space="preserve">  Neil New Builds (elevation)</t>
        </is>
      </c>
      <c r="B7" s="51" t="n">
        <v>9</v>
      </c>
    </row>
    <row r="8">
      <c r="A8" s="50" t="inlineStr">
        <is>
          <t>Infill Sites (coverage gaps)</t>
        </is>
      </c>
      <c r="B8" s="51" t="n">
        <v>76</v>
      </c>
    </row>
    <row r="9">
      <c r="A9" s="50" t="inlineStr">
        <is>
          <t>Sites Removed (0 BSLs)</t>
        </is>
      </c>
      <c r="B9" s="51" t="n">
        <v>7</v>
      </c>
    </row>
    <row r="10">
      <c r="A10" s="50" t="inlineStr">
        <is>
          <t>Total Active Sites</t>
        </is>
      </c>
      <c r="B10" s="51" t="n">
        <v>100</v>
      </c>
    </row>
    <row r="11">
      <c r="A11" s="50" t="inlineStr">
        <is>
          <t>Total Colocation</t>
        </is>
      </c>
      <c r="B11" s="51" t="n">
        <v>15</v>
      </c>
    </row>
    <row r="12">
      <c r="A12" s="50" t="inlineStr">
        <is>
          <t>Total New Build</t>
        </is>
      </c>
      <c r="B12" s="51" t="n">
        <v>85</v>
      </c>
    </row>
    <row r="14">
      <c r="A14" s="49" t="inlineStr">
        <is>
          <t>NETWORK ARCHITECTURE</t>
        </is>
      </c>
    </row>
    <row r="15">
      <c r="A15" s="50" t="inlineStr">
        <is>
          <t>G2 Access Sectors</t>
        </is>
      </c>
      <c r="B15" s="51" t="n">
        <v>181</v>
      </c>
    </row>
    <row r="16">
      <c r="A16" s="50" t="inlineStr">
        <is>
          <t>P2P Backhaul Links</t>
        </is>
      </c>
      <c r="B16" s="51" t="n">
        <v>100</v>
      </c>
    </row>
    <row r="17">
      <c r="A17" s="50" t="inlineStr">
        <is>
          <t>Ketsen Gateways</t>
        </is>
      </c>
      <c r="B17" s="51" t="n">
        <v>19</v>
      </c>
    </row>
    <row r="18">
      <c r="A18" s="50" t="inlineStr">
        <is>
          <t>BSLs Covered</t>
        </is>
      </c>
      <c r="B18" s="52" t="n">
        <v>11346</v>
      </c>
    </row>
    <row r="19">
      <c r="A19" s="50" t="inlineStr">
        <is>
          <t>Avg Sectors/Site</t>
        </is>
      </c>
      <c r="B19" s="51" t="n">
        <v>1.8</v>
      </c>
    </row>
    <row r="21">
      <c r="A21" s="49" t="inlineStr">
        <is>
          <t>CAPEX</t>
        </is>
      </c>
    </row>
    <row r="22">
      <c r="A22" s="50" t="inlineStr">
        <is>
          <t>G2 BNs (181 x $21K)</t>
        </is>
      </c>
      <c r="B22" s="53" t="n">
        <v>3801000</v>
      </c>
    </row>
    <row r="23">
      <c r="A23" s="50" t="inlineStr">
        <is>
          <t>P2P BH (100 x $11.6K)</t>
        </is>
      </c>
      <c r="B23" s="53" t="n">
        <v>1163400</v>
      </c>
    </row>
    <row r="24">
      <c r="A24" s="50" t="inlineStr">
        <is>
          <t>Accessories (100 x $1.4K)</t>
        </is>
      </c>
      <c r="B24" s="53" t="n">
        <v>144600</v>
      </c>
    </row>
    <row r="25">
      <c r="A25" s="50" t="inlineStr">
        <is>
          <t>Ketsen GW (19 x $2K)</t>
        </is>
      </c>
      <c r="B25" s="53" t="n">
        <v>38000</v>
      </c>
    </row>
    <row r="26">
      <c r="A26" s="50" t="inlineStr">
        <is>
          <t>Equipment Subtotal</t>
        </is>
      </c>
      <c r="B26" s="53" t="n">
        <v>5147000</v>
      </c>
    </row>
    <row r="28">
      <c r="A28" s="50" t="inlineStr">
        <is>
          <t>Coloc Setup (15 x $25K)</t>
        </is>
      </c>
      <c r="B28" s="53" t="n">
        <v>375000</v>
      </c>
    </row>
    <row r="29">
      <c r="A29" s="50" t="inlineStr">
        <is>
          <t>New Towers (85 x $50K)</t>
        </is>
      </c>
      <c r="B29" s="53" t="n">
        <v>4250000</v>
      </c>
    </row>
    <row r="30">
      <c r="A30" s="50" t="inlineStr">
        <is>
          <t>Make-Ready (15 x $10K)</t>
        </is>
      </c>
      <c r="B30" s="53" t="n">
        <v>150000</v>
      </c>
    </row>
    <row r="31">
      <c r="A31" s="50" t="inlineStr">
        <is>
          <t>Infrastructure Subtotal</t>
        </is>
      </c>
      <c r="B31" s="53" t="n">
        <v>4775000</v>
      </c>
    </row>
    <row r="33">
      <c r="A33" s="50" t="inlineStr">
        <is>
          <t>Subtotal</t>
        </is>
      </c>
      <c r="B33" s="53" t="n">
        <v>9922000</v>
      </c>
    </row>
    <row r="34">
      <c r="A34" s="50" t="inlineStr">
        <is>
          <t>Contingency (10%)</t>
        </is>
      </c>
      <c r="B34" s="53" t="n">
        <v>992200</v>
      </c>
    </row>
    <row r="35">
      <c r="A35" s="50" t="inlineStr">
        <is>
          <t>TOTAL CAPEX</t>
        </is>
      </c>
      <c r="B35" s="53" t="n">
        <v>10914200</v>
      </c>
    </row>
    <row r="37">
      <c r="A37" s="49" t="inlineStr">
        <is>
          <t>ANNUAL LEASE OPEX</t>
        </is>
      </c>
    </row>
    <row r="38">
      <c r="A38" s="50" t="inlineStr">
        <is>
          <t>Coloc Leases (15 x $18K)</t>
        </is>
      </c>
      <c r="B38" s="53" t="n">
        <v>270000</v>
      </c>
    </row>
    <row r="39">
      <c r="A39" s="50" t="inlineStr">
        <is>
          <t>Ground Leases (85 x $6K)</t>
        </is>
      </c>
      <c r="B39" s="53" t="n">
        <v>510000</v>
      </c>
    </row>
    <row r="40">
      <c r="A40" s="50" t="inlineStr">
        <is>
          <t>Total Lease OPEX</t>
        </is>
      </c>
      <c r="B40" s="53" t="n">
        <v>780000</v>
      </c>
    </row>
    <row r="42">
      <c r="A42" s="49" t="inlineStr">
        <is>
          <t>COMPARISON</t>
        </is>
      </c>
    </row>
    <row r="43">
      <c r="A43" s="51" t="inlineStr"/>
      <c r="B43" s="51" t="inlineStr">
        <is>
          <t>Current</t>
        </is>
      </c>
      <c r="C43" s="51" t="inlineStr">
        <is>
          <t>Corrected</t>
        </is>
      </c>
      <c r="D43" s="51" t="inlineStr">
        <is>
          <t>Optimized</t>
        </is>
      </c>
      <c r="E43" s="51" t="inlineStr">
        <is>
          <t>Neil Hybrid</t>
        </is>
      </c>
    </row>
    <row r="44">
      <c r="A44" s="50" t="inlineStr">
        <is>
          <t>Sites</t>
        </is>
      </c>
      <c r="B44" s="52" t="n">
        <v>6</v>
      </c>
      <c r="C44" s="52" t="n">
        <v>101</v>
      </c>
      <c r="D44" s="52" t="n">
        <v>101</v>
      </c>
      <c r="E44" s="54" t="n">
        <v>100</v>
      </c>
    </row>
    <row r="45">
      <c r="A45" s="50" t="inlineStr">
        <is>
          <t>Sectors</t>
        </is>
      </c>
      <c r="B45" s="52" t="n">
        <v>80</v>
      </c>
      <c r="C45" s="52" t="n">
        <v>115</v>
      </c>
      <c r="D45" s="52" t="n">
        <v>115</v>
      </c>
      <c r="E45" s="54" t="n">
        <v>181</v>
      </c>
    </row>
    <row r="46">
      <c r="A46" s="50" t="inlineStr">
        <is>
          <t>BSLs</t>
        </is>
      </c>
      <c r="B46" s="52" t="n">
        <v>9584</v>
      </c>
      <c r="C46" s="52" t="n">
        <v>11346</v>
      </c>
      <c r="D46" s="52" t="n">
        <v>11346</v>
      </c>
      <c r="E46" s="54" t="n">
        <v>11346</v>
      </c>
    </row>
    <row r="47">
      <c r="A47" s="50" t="inlineStr">
        <is>
          <t>Infra CAPEX</t>
        </is>
      </c>
      <c r="B47" s="53" t="n">
        <v>2378024</v>
      </c>
      <c r="C47" s="53" t="n">
        <v>9377817</v>
      </c>
      <c r="D47" s="53" t="n">
        <v>8717817</v>
      </c>
      <c r="E47" s="55" t="n">
        <v>10914200</v>
      </c>
    </row>
    <row r="48">
      <c r="A48" s="50" t="inlineStr">
        <is>
          <t>Lease OPEX/yr</t>
        </is>
      </c>
      <c r="B48" s="53" t="n">
        <v>720000</v>
      </c>
      <c r="C48" s="53" t="n">
        <v>606000</v>
      </c>
      <c r="D48" s="53" t="n">
        <v>894000</v>
      </c>
      <c r="E48" s="55" t="n">
        <v>780000</v>
      </c>
    </row>
    <row r="50">
      <c r="A50" s="49" t="inlineStr">
        <is>
          <t>KEY FINDINGS</t>
        </is>
      </c>
    </row>
    <row r="51">
      <c r="A51" s="56" t="inlineStr">
        <is>
          <t>62.6%% of BSLs &gt;5km from Neil sites; 76 infill sites required for 100%% coverage</t>
        </is>
      </c>
    </row>
    <row r="52">
      <c r="A52" s="56" t="inlineStr">
        <is>
          <t>181 total sectors needed (57% more than Corrected) due to non-optimized placement</t>
        </is>
      </c>
    </row>
    <row r="53">
      <c r="A53" s="56" t="inlineStr">
        <is>
          <t>CAPEX $1.54M higher than Corrected driven by sector count increase</t>
        </is>
      </c>
    </row>
    <row r="54">
      <c r="A54" s="56" t="inlineStr">
        <is>
          <t>Lease OPEX $780K/yr vs $606K (Corrected) due to 15 coloc sites at $18K</t>
        </is>
      </c>
    </row>
    <row r="55">
      <c r="A55" s="56" t="inlineStr">
        <is>
          <t>Approach validates elevation anchors but requires dense suburban infill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55" customWidth="1" style="28" min="1" max="1"/>
    <col width="18" customWidth="1" style="28" min="2" max="2"/>
    <col width="14" customWidth="1" style="28" min="3" max="3"/>
    <col width="14" customWidth="1" style="28" min="4" max="4"/>
    <col width="14" customWidth="1" style="28" min="5" max="5"/>
    <col width="18" customWidth="1" style="28" min="6" max="6"/>
  </cols>
  <sheetData>
    <row r="1">
      <c r="A1" s="62" t="inlineStr">
        <is>
          <t>Neil Optimistic Design Scenario (G2 RNm 10km)</t>
        </is>
      </c>
    </row>
    <row r="2">
      <c r="A2" s="63" t="inlineStr">
        <is>
          <t>WARNING: Requires field validation of 10km RNm link budgets from elevation sites. Uses CBRS + 6 GHz (160 MHz) spec.</t>
        </is>
      </c>
    </row>
    <row r="4">
      <c r="A4" s="64" t="inlineStr">
        <is>
          <t>SITE CONFIGURATION</t>
        </is>
      </c>
    </row>
    <row r="5">
      <c r="A5" t="inlineStr">
        <is>
          <t>Neil Anchor Sites (active)</t>
        </is>
      </c>
      <c r="B5" s="65" t="n">
        <v>28</v>
      </c>
    </row>
    <row r="6">
      <c r="A6" t="inlineStr">
        <is>
          <t xml:space="preserve">  ELNK Building Colocations</t>
        </is>
      </c>
      <c r="B6" s="65" t="n">
        <v>8</v>
      </c>
    </row>
    <row r="7">
      <c r="A7" t="inlineStr">
        <is>
          <t xml:space="preserve">  ASR Tower Colocations</t>
        </is>
      </c>
      <c r="B7" s="65" t="n">
        <v>11</v>
      </c>
    </row>
    <row r="8">
      <c r="A8" t="inlineStr">
        <is>
          <t xml:space="preserve">  Neil New Builds (elevation)</t>
        </is>
      </c>
      <c r="B8" s="65" t="n">
        <v>9</v>
      </c>
    </row>
    <row r="9">
      <c r="A9" t="inlineStr">
        <is>
          <t>Infill Sites (coverage gaps)</t>
        </is>
      </c>
      <c r="B9" s="65" t="n">
        <v>7</v>
      </c>
    </row>
    <row r="10">
      <c r="A10" t="inlineStr">
        <is>
          <t>Sites Removed (0 BSLs)</t>
        </is>
      </c>
      <c r="B10" s="65" t="n">
        <v>3</v>
      </c>
    </row>
    <row r="11">
      <c r="A11" t="inlineStr">
        <is>
          <t>Total Active Sites</t>
        </is>
      </c>
      <c r="B11" s="65" t="n">
        <v>35</v>
      </c>
    </row>
    <row r="12">
      <c r="A12" t="inlineStr">
        <is>
          <t>Total Colocation</t>
        </is>
      </c>
      <c r="B12" s="65" t="n">
        <v>19</v>
      </c>
    </row>
    <row r="13">
      <c r="A13" t="inlineStr">
        <is>
          <t>Total New Build</t>
        </is>
      </c>
      <c r="B13" s="65" t="n">
        <v>16</v>
      </c>
    </row>
    <row r="15">
      <c r="A15" s="64" t="inlineStr">
        <is>
          <t>NETWORK ARCHITECTURE</t>
        </is>
      </c>
    </row>
    <row r="16">
      <c r="A16" t="inlineStr">
        <is>
          <t>G2 RNm Access Sectors</t>
        </is>
      </c>
      <c r="B16" s="65" t="n">
        <v>98</v>
      </c>
    </row>
    <row r="17">
      <c r="A17" t="inlineStr">
        <is>
          <t>P2P Backhaul Links</t>
        </is>
      </c>
      <c r="B17" s="65" t="n">
        <v>35</v>
      </c>
    </row>
    <row r="18">
      <c r="A18" t="inlineStr">
        <is>
          <t>Ketsen Gateways</t>
        </is>
      </c>
      <c r="B18" s="65" t="n">
        <v>0</v>
      </c>
    </row>
    <row r="19">
      <c r="A19" t="inlineStr">
        <is>
          <t>BSLs Covered</t>
        </is>
      </c>
      <c r="B19" s="65" t="n">
        <v>11346</v>
      </c>
    </row>
    <row r="20">
      <c r="A20" t="inlineStr">
        <is>
          <t>Avg Sectors/Site</t>
        </is>
      </c>
      <c r="B20" s="65" t="n">
        <v>2.8</v>
      </c>
    </row>
    <row r="21">
      <c r="A21" t="inlineStr">
        <is>
          <t>Range Assumption</t>
        </is>
      </c>
      <c r="B21" s="65" t="inlineStr">
        <is>
          <t>10km (G2 BN-RNm, CBRS + 6 GHz, elevation)</t>
        </is>
      </c>
    </row>
    <row r="23">
      <c r="A23" s="64" t="inlineStr">
        <is>
          <t>CAPEX</t>
        </is>
      </c>
    </row>
    <row r="24">
      <c r="A24" t="inlineStr">
        <is>
          <t>G2 RNm BNs (98 x $21K)</t>
        </is>
      </c>
      <c r="B24" s="66" t="n">
        <v>2058000</v>
      </c>
    </row>
    <row r="25">
      <c r="A25" t="inlineStr">
        <is>
          <t>P2P BH (35 x $11.6K)</t>
        </is>
      </c>
      <c r="B25" s="66" t="n">
        <v>407190</v>
      </c>
    </row>
    <row r="26">
      <c r="A26" t="inlineStr">
        <is>
          <t>Accessories (35 x $1.4K)</t>
        </is>
      </c>
      <c r="B26" s="66" t="n">
        <v>50610</v>
      </c>
    </row>
    <row r="27">
      <c r="A27" t="inlineStr">
        <is>
          <t>Ketsen GW (0)</t>
        </is>
      </c>
      <c r="B27" s="66" t="n">
        <v>0</v>
      </c>
    </row>
    <row r="28">
      <c r="A28" t="inlineStr">
        <is>
          <t>Equipment Subtotal</t>
        </is>
      </c>
      <c r="B28" s="66" t="n">
        <v>2515800</v>
      </c>
    </row>
    <row r="30">
      <c r="A30" t="inlineStr">
        <is>
          <t>Coloc Setup (19 x $25K)</t>
        </is>
      </c>
      <c r="B30" s="66" t="n">
        <v>475000</v>
      </c>
    </row>
    <row r="31">
      <c r="A31" t="inlineStr">
        <is>
          <t>New Towers (16 x $50K)</t>
        </is>
      </c>
      <c r="B31" s="66" t="n">
        <v>800000</v>
      </c>
    </row>
    <row r="32">
      <c r="A32" t="inlineStr">
        <is>
          <t>Make-Ready (19 x $10K)</t>
        </is>
      </c>
      <c r="B32" s="66" t="n">
        <v>190000</v>
      </c>
    </row>
    <row r="33">
      <c r="A33" t="inlineStr">
        <is>
          <t>Infrastructure Subtotal</t>
        </is>
      </c>
      <c r="B33" s="66" t="n">
        <v>1465000</v>
      </c>
    </row>
    <row r="35">
      <c r="A35" t="inlineStr">
        <is>
          <t>Subtotal</t>
        </is>
      </c>
      <c r="B35" s="66" t="n">
        <v>3980800</v>
      </c>
    </row>
    <row r="36">
      <c r="A36" t="inlineStr">
        <is>
          <t>Contingency (10%)</t>
        </is>
      </c>
      <c r="B36" s="66" t="n">
        <v>398080</v>
      </c>
    </row>
    <row r="37">
      <c r="A37" t="inlineStr">
        <is>
          <t>TOTAL CAPEX</t>
        </is>
      </c>
      <c r="B37" s="66" t="n">
        <v>4378880</v>
      </c>
    </row>
    <row r="39">
      <c r="A39" s="64" t="inlineStr">
        <is>
          <t>ANNUAL LEASE OPEX</t>
        </is>
      </c>
    </row>
    <row r="40">
      <c r="A40" t="inlineStr">
        <is>
          <t>Coloc Leases (19 x $18K)</t>
        </is>
      </c>
      <c r="B40" s="66" t="n">
        <v>342000</v>
      </c>
    </row>
    <row r="41">
      <c r="A41" t="inlineStr">
        <is>
          <t>Ground Leases (16 x $6K)</t>
        </is>
      </c>
      <c r="B41" s="66" t="n">
        <v>96000</v>
      </c>
    </row>
    <row r="42">
      <c r="A42" t="inlineStr">
        <is>
          <t>Total Lease OPEX</t>
        </is>
      </c>
      <c r="B42" s="66" t="n">
        <v>438000</v>
      </c>
    </row>
    <row r="44">
      <c r="A44" s="64" t="inlineStr">
        <is>
          <t>COMPARISON</t>
        </is>
      </c>
    </row>
    <row r="45">
      <c r="A45" s="65" t="inlineStr"/>
      <c r="B45" s="65" t="inlineStr">
        <is>
          <t>Current</t>
        </is>
      </c>
      <c r="C45" s="65" t="inlineStr">
        <is>
          <t>Corrected</t>
        </is>
      </c>
      <c r="D45" s="65" t="inlineStr">
        <is>
          <t>Optimized</t>
        </is>
      </c>
      <c r="E45" s="65" t="inlineStr">
        <is>
          <t>Neil Hybrid</t>
        </is>
      </c>
      <c r="F45" s="65" t="inlineStr">
        <is>
          <t>Neil Optimistic</t>
        </is>
      </c>
    </row>
    <row r="46">
      <c r="A46" t="inlineStr">
        <is>
          <t>Sites</t>
        </is>
      </c>
      <c r="B46" s="65" t="n">
        <v>6</v>
      </c>
      <c r="C46" s="65" t="n">
        <v>101</v>
      </c>
      <c r="D46" s="65" t="n">
        <v>101</v>
      </c>
      <c r="E46" s="65" t="n">
        <v>100</v>
      </c>
      <c r="F46" s="65" t="n">
        <v>35</v>
      </c>
    </row>
    <row r="47">
      <c r="A47" t="inlineStr">
        <is>
          <t>Sectors</t>
        </is>
      </c>
      <c r="B47" s="65" t="n">
        <v>80</v>
      </c>
      <c r="C47" s="65" t="n">
        <v>115</v>
      </c>
      <c r="D47" s="65" t="n">
        <v>115</v>
      </c>
      <c r="E47" s="65" t="n">
        <v>181</v>
      </c>
      <c r="F47" s="65" t="n">
        <v>98</v>
      </c>
    </row>
    <row r="48">
      <c r="A48" t="inlineStr">
        <is>
          <t>BSLs</t>
        </is>
      </c>
      <c r="B48" s="65" t="n">
        <v>9584</v>
      </c>
      <c r="C48" s="65" t="n">
        <v>11346</v>
      </c>
      <c r="D48" s="65" t="n">
        <v>11346</v>
      </c>
      <c r="E48" s="65" t="n">
        <v>11346</v>
      </c>
      <c r="F48" s="65" t="n">
        <v>11346</v>
      </c>
    </row>
    <row r="49">
      <c r="A49" t="inlineStr">
        <is>
          <t>Infra CAPEX</t>
        </is>
      </c>
      <c r="B49" s="66" t="n">
        <v>2378024</v>
      </c>
      <c r="C49" s="66" t="n">
        <v>9377817</v>
      </c>
      <c r="D49" s="66" t="n">
        <v>8717817</v>
      </c>
      <c r="E49" s="66" t="n">
        <v>10914200</v>
      </c>
      <c r="F49" s="66" t="n">
        <v>4378880</v>
      </c>
    </row>
    <row r="50">
      <c r="A50" t="inlineStr">
        <is>
          <t>Lease OPEX/yr</t>
        </is>
      </c>
      <c r="B50" s="66" t="n">
        <v>720000</v>
      </c>
      <c r="C50" s="66" t="n">
        <v>606000</v>
      </c>
      <c r="D50" s="66" t="n">
        <v>894000</v>
      </c>
      <c r="E50" s="66" t="n">
        <v>780000</v>
      </c>
      <c r="F50" s="66" t="n">
        <v>438000</v>
      </c>
    </row>
    <row r="53">
      <c r="A53" s="64" t="inlineStr">
        <is>
          <t>KEY FINDINGS</t>
        </is>
      </c>
    </row>
    <row r="54">
      <c r="A54" t="inlineStr">
        <is>
          <t>At 10km RNm range, only 7 infill sites needed (vs 76 at 5km) for 100% BSL coverage</t>
        </is>
      </c>
    </row>
    <row r="55">
      <c r="A55" t="inlineStr">
        <is>
          <t>Total CAPEX $4.38M, roughly $5M below Corrected design</t>
        </is>
      </c>
    </row>
    <row r="56">
      <c r="A56" t="inlineStr">
        <is>
          <t>Only 98 sectors required vs 181 (Neil Hybrid) and 115 (Corrected)</t>
        </is>
      </c>
    </row>
    <row r="57">
      <c r="A57" t="inlineStr">
        <is>
          <t>Lease OPEX $438K/yr, lowest of any full-coverage scenario</t>
        </is>
      </c>
    </row>
    <row r="58">
      <c r="A58" t="inlineStr">
        <is>
          <t>19 coloc sites leverage existing ELNK + ASR infrastructure</t>
        </is>
      </c>
    </row>
    <row r="59">
      <c r="A59" t="inlineStr">
        <is>
          <t>CRITICAL: 10km range from elevation requires field validation with G2 BN-RNm hardware</t>
        </is>
      </c>
    </row>
    <row r="60">
      <c r="A60" t="inlineStr">
        <is>
          <t>Risk: If field tests show &lt;8km reliable range, additional infill sites will be needed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D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27" min="1" max="1"/>
    <col width="18" customWidth="1" style="27" min="2" max="4"/>
  </cols>
  <sheetData>
    <row r="1" ht="17.25" customHeight="1" s="28">
      <c r="A1" s="29" t="inlineStr">
        <is>
          <t>WeLink AZ BEAD - Design Comparison</t>
        </is>
      </c>
    </row>
    <row r="3" ht="15" customHeight="1" s="28">
      <c r="A3" s="44" t="inlineStr">
        <is>
          <t>Metric</t>
        </is>
      </c>
      <c r="B3" s="44" t="inlineStr">
        <is>
          <t>Current</t>
        </is>
      </c>
      <c r="C3" s="44" t="inlineStr">
        <is>
          <t>Corrected</t>
        </is>
      </c>
      <c r="D3" s="44" t="inlineStr">
        <is>
          <t>Optimized</t>
        </is>
      </c>
    </row>
    <row r="4" ht="15" customHeight="1" s="28">
      <c r="A4" s="30" t="inlineStr">
        <is>
          <t>ARCHITECTURE</t>
        </is>
      </c>
      <c r="B4" s="31" t="n"/>
      <c r="C4" s="31" t="n"/>
      <c r="D4" s="31" t="n"/>
    </row>
    <row r="5" ht="15" customHeight="1" s="28">
      <c r="A5" s="32" t="inlineStr">
        <is>
          <t>Total Sites</t>
        </is>
      </c>
      <c r="B5" s="42">
        <f>'Current Design'!B4</f>
        <v/>
      </c>
      <c r="C5" s="42">
        <f>'Corrected Design'!B4</f>
        <v/>
      </c>
      <c r="D5" s="42">
        <f>'Optimized Design'!B6</f>
        <v/>
      </c>
    </row>
    <row r="6" ht="15" customHeight="1" s="28">
      <c r="A6" s="32" t="inlineStr">
        <is>
          <t>Total Sectors</t>
        </is>
      </c>
      <c r="B6" s="42">
        <f>'Current Design'!B5</f>
        <v/>
      </c>
      <c r="C6" s="42">
        <f>'Corrected Design'!B9</f>
        <v/>
      </c>
      <c r="D6" s="42">
        <f>'Optimized Design'!B11</f>
        <v/>
      </c>
    </row>
    <row r="7" ht="15" customHeight="1" s="28">
      <c r="A7" s="32" t="inlineStr">
        <is>
          <t>BSLs Covered</t>
        </is>
      </c>
      <c r="B7" s="42">
        <f>'Current Design'!B7</f>
        <v/>
      </c>
      <c r="C7" s="42">
        <f>'Corrected Design'!B13</f>
        <v/>
      </c>
      <c r="D7" s="42">
        <f>'Optimized Design'!B15</f>
        <v/>
      </c>
    </row>
    <row r="8" ht="15" customHeight="1" s="28">
      <c r="A8" s="32" t="inlineStr">
        <is>
          <t>BSL Gap</t>
        </is>
      </c>
      <c r="B8" s="42">
        <f>'Current Design'!B8</f>
        <v/>
      </c>
      <c r="C8" s="42">
        <f>'Corrected Design'!B14</f>
        <v/>
      </c>
      <c r="D8" s="42">
        <f>'Optimized Design'!B16</f>
        <v/>
      </c>
    </row>
    <row r="9" ht="15" customHeight="1" s="28">
      <c r="A9" s="32" t="inlineStr">
        <is>
          <t>BEAD Coverage %</t>
        </is>
      </c>
      <c r="B9" s="45">
        <f>'Current Design'!B7/Assumptions!B4</f>
        <v/>
      </c>
      <c r="C9" s="45">
        <f>'Corrected Design'!B13/Assumptions!B4</f>
        <v/>
      </c>
      <c r="D9" s="45">
        <f>'Optimized Design'!B15/Assumptions!B4</f>
        <v/>
      </c>
    </row>
    <row r="10" ht="15" customHeight="1" s="28">
      <c r="A10" s="32" t="inlineStr">
        <is>
          <t>Colocation Sites</t>
        </is>
      </c>
      <c r="B10" s="35" t="n">
        <v>0</v>
      </c>
      <c r="C10" s="35" t="n">
        <v>0</v>
      </c>
      <c r="D10" s="42">
        <f>'Optimized Design'!B4</f>
        <v/>
      </c>
    </row>
    <row r="11" ht="15" customHeight="1" s="28">
      <c r="A11" s="32" t="inlineStr">
        <is>
          <t>New Build Sites</t>
        </is>
      </c>
      <c r="B11" s="42">
        <f>'Current Design'!B4</f>
        <v/>
      </c>
      <c r="C11" s="42">
        <f>'Corrected Design'!B4</f>
        <v/>
      </c>
      <c r="D11" s="42">
        <f>'Optimized Design'!B5</f>
        <v/>
      </c>
    </row>
    <row r="12" ht="15" customHeight="1" s="28">
      <c r="A12" s="32" t="inlineStr">
        <is>
          <t>Ketsen Cluster Sites</t>
        </is>
      </c>
      <c r="B12" s="35" t="n">
        <v>0</v>
      </c>
      <c r="C12" s="35" t="n">
        <v>13</v>
      </c>
      <c r="D12" s="35" t="n">
        <v>13</v>
      </c>
    </row>
    <row r="13" ht="15" customHeight="1" s="28">
      <c r="A13" s="30" t="inlineStr">
        <is>
          <t>CAPEX</t>
        </is>
      </c>
      <c r="B13" s="31" t="n"/>
      <c r="C13" s="31" t="n"/>
      <c r="D13" s="31" t="n"/>
    </row>
    <row r="14" ht="15" customHeight="1" s="28">
      <c r="A14" s="32" t="inlineStr">
        <is>
          <t>Infrastructure CAPEX</t>
        </is>
      </c>
      <c r="B14" s="43">
        <f>'Current Design'!B18</f>
        <v/>
      </c>
      <c r="C14" s="43">
        <f>'Corrected Design'!B25</f>
        <v/>
      </c>
      <c r="D14" s="43">
        <f>'Optimized Design'!B28</f>
        <v/>
      </c>
    </row>
    <row r="15" ht="15" customHeight="1" s="28">
      <c r="A15" s="32" t="inlineStr">
        <is>
          <t>Year 1 Total CAPEX</t>
        </is>
      </c>
      <c r="B15" s="43">
        <f>'Current Design'!B32</f>
        <v/>
      </c>
      <c r="C15" s="43">
        <f>'Corrected Design'!B39</f>
        <v/>
      </c>
      <c r="D15" s="43">
        <f>'Optimized Design'!B42</f>
        <v/>
      </c>
    </row>
    <row r="16" ht="15" customHeight="1" s="28">
      <c r="A16" s="32" t="inlineStr">
        <is>
          <t>5-Year Total CAPEX</t>
        </is>
      </c>
      <c r="B16" s="43">
        <f>SUM('Current Design'!B32:F32)</f>
        <v/>
      </c>
      <c r="C16" s="43">
        <f>SUM('Corrected Design'!B39:F39)</f>
        <v/>
      </c>
      <c r="D16" s="43">
        <f>SUM('Optimized Design'!B42:F42)</f>
        <v/>
      </c>
    </row>
    <row r="17" ht="15" customHeight="1" s="28">
      <c r="A17" s="30" t="inlineStr">
        <is>
          <t>FINANCIAL</t>
        </is>
      </c>
      <c r="B17" s="31" t="n"/>
      <c r="C17" s="31" t="n"/>
      <c r="D17" s="31" t="n"/>
    </row>
    <row r="18" ht="15" customHeight="1" s="28">
      <c r="A18" s="32" t="inlineStr">
        <is>
          <t>Year 5 Revenue</t>
        </is>
      </c>
      <c r="B18" s="43">
        <f>'Current Design'!F27</f>
        <v/>
      </c>
      <c r="C18" s="43">
        <f>'Corrected Design'!F34</f>
        <v/>
      </c>
      <c r="D18" s="43">
        <f>'Optimized Design'!F37</f>
        <v/>
      </c>
    </row>
    <row r="19" ht="15" customHeight="1" s="28">
      <c r="A19" s="32" t="inlineStr">
        <is>
          <t>Year 5 EBITDA</t>
        </is>
      </c>
      <c r="B19" s="43">
        <f>'Current Design'!F47</f>
        <v/>
      </c>
      <c r="C19" s="43">
        <f>'Corrected Design'!F54</f>
        <v/>
      </c>
      <c r="D19" s="43">
        <f>'Optimized Design'!F57</f>
        <v/>
      </c>
    </row>
    <row r="20" ht="15" customHeight="1" s="28">
      <c r="A20" s="32" t="inlineStr">
        <is>
          <t>Year 5 EBITDA Margin</t>
        </is>
      </c>
      <c r="B20" s="45">
        <f>'Current Design'!F48</f>
        <v/>
      </c>
      <c r="C20" s="45">
        <f>'Corrected Design'!F55</f>
        <v/>
      </c>
      <c r="D20" s="45">
        <f>'Optimized Design'!F58</f>
        <v/>
      </c>
    </row>
    <row r="21" ht="15" customHeight="1" s="28">
      <c r="A21" s="32" t="inlineStr">
        <is>
          <t>5-Year Cumulative FCF</t>
        </is>
      </c>
      <c r="B21" s="43">
        <f>'Current Design'!F53</f>
        <v/>
      </c>
      <c r="C21" s="43">
        <f>'Corrected Design'!F60</f>
        <v/>
      </c>
      <c r="D21" s="43">
        <f>'Optimized Design'!F63</f>
        <v/>
      </c>
    </row>
    <row r="22" ht="15" customHeight="1" s="28">
      <c r="A22" s="32" t="inlineStr">
        <is>
          <t>Year 5 Total Subscribers</t>
        </is>
      </c>
      <c r="B22" s="42">
        <f>'Current Design'!F26</f>
        <v/>
      </c>
      <c r="C22" s="42">
        <f>'Corrected Design'!F33</f>
        <v/>
      </c>
      <c r="D22" s="42">
        <f>'Optimized Design'!F36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F6600"/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27" min="1" max="1"/>
    <col width="18" customWidth="1" style="27" min="2" max="5"/>
    <col width="30" customWidth="1" style="27" min="6" max="6"/>
  </cols>
  <sheetData>
    <row r="1" ht="17.25" customHeight="1" s="28">
      <c r="A1" s="29" t="inlineStr">
        <is>
          <t>Model-to-Map Reconciliation</t>
        </is>
      </c>
    </row>
    <row r="3" ht="15" customHeight="1" s="28">
      <c r="A3" s="44" t="inlineStr">
        <is>
          <t>Item</t>
        </is>
      </c>
      <c r="B3" s="44" t="inlineStr">
        <is>
          <t>Current</t>
        </is>
      </c>
      <c r="C3" s="44" t="inlineStr">
        <is>
          <t>Corrected</t>
        </is>
      </c>
      <c r="D3" s="44" t="inlineStr">
        <is>
          <t>Optimized</t>
        </is>
      </c>
      <c r="E3" s="44" t="inlineStr">
        <is>
          <t>Map Value</t>
        </is>
      </c>
      <c r="F3" s="44" t="inlineStr">
        <is>
          <t>Status</t>
        </is>
      </c>
    </row>
    <row r="4" ht="15" customHeight="1" s="28">
      <c r="A4" s="32" t="inlineStr">
        <is>
          <t>Total BSLs (Obligation)</t>
        </is>
      </c>
      <c r="B4" s="42">
        <f>Assumptions!B4</f>
        <v/>
      </c>
      <c r="C4" s="42">
        <f>Assumptions!B4</f>
        <v/>
      </c>
      <c r="D4" s="42">
        <f>Assumptions!B4</f>
        <v/>
      </c>
      <c r="E4" s="57" t="inlineStr">
        <is>
          <t>11,346</t>
        </is>
      </c>
      <c r="F4" s="32" t="inlineStr">
        <is>
          <t>Match</t>
        </is>
      </c>
    </row>
    <row r="5" ht="15" customHeight="1" s="28">
      <c r="A5" s="32" t="inlineStr">
        <is>
          <t>BSLs Covered</t>
        </is>
      </c>
      <c r="B5" s="42">
        <f>'Current Design'!B7</f>
        <v/>
      </c>
      <c r="C5" s="42">
        <f>'Corrected Design'!B13</f>
        <v/>
      </c>
      <c r="D5" s="42">
        <f>'Optimized Design'!B15</f>
        <v/>
      </c>
      <c r="E5" s="57" t="inlineStr">
        <is>
          <t>9,584 / 11,346 / 11,346</t>
        </is>
      </c>
      <c r="F5" s="32" t="inlineStr">
        <is>
          <t>Verify map KPIs</t>
        </is>
      </c>
    </row>
    <row r="6" ht="15" customHeight="1" s="28">
      <c r="A6" s="32" t="inlineStr">
        <is>
          <t>Tower / Site Count</t>
        </is>
      </c>
      <c r="B6" s="42">
        <f>'Current Design'!B4</f>
        <v/>
      </c>
      <c r="C6" s="42">
        <f>'Corrected Design'!B4</f>
        <v/>
      </c>
      <c r="D6" s="42">
        <f>'Optimized Design'!B6</f>
        <v/>
      </c>
      <c r="E6" s="57" t="inlineStr">
        <is>
          <t>40 / 101 / 101</t>
        </is>
      </c>
      <c r="F6" s="32" t="inlineStr">
        <is>
          <t>Verify map KPIs</t>
        </is>
      </c>
    </row>
    <row r="7" ht="15" customHeight="1" s="28">
      <c r="A7" s="32" t="inlineStr">
        <is>
          <t>Total Sectors</t>
        </is>
      </c>
      <c r="B7" s="42">
        <f>'Current Design'!B5</f>
        <v/>
      </c>
      <c r="C7" s="42">
        <f>'Corrected Design'!B9</f>
        <v/>
      </c>
      <c r="D7" s="42">
        <f>'Optimized Design'!B11</f>
        <v/>
      </c>
      <c r="E7" s="57" t="inlineStr">
        <is>
          <t>80 / 115 / 115</t>
        </is>
      </c>
      <c r="F7" s="32" t="inlineStr">
        <is>
          <t>Verify map KPIs</t>
        </is>
      </c>
    </row>
    <row r="8" ht="15" customHeight="1" s="28">
      <c r="A8" s="32" t="inlineStr">
        <is>
          <t>Ketsen Cluster Sites</t>
        </is>
      </c>
      <c r="B8" s="58" t="inlineStr">
        <is>
          <t>0</t>
        </is>
      </c>
      <c r="C8" s="58" t="inlineStr">
        <is>
          <t>13</t>
        </is>
      </c>
      <c r="D8" s="58" t="inlineStr">
        <is>
          <t>13</t>
        </is>
      </c>
      <c r="E8" s="57" t="inlineStr">
        <is>
          <t>12 / 13 / 13</t>
        </is>
      </c>
      <c r="F8" s="32" t="inlineStr">
        <is>
          <t>Current tab shows 12 in map</t>
        </is>
      </c>
    </row>
    <row r="9" ht="15" customHeight="1" s="28">
      <c r="A9" s="32" t="inlineStr">
        <is>
          <t>Tarana G2 Access Sectors</t>
        </is>
      </c>
      <c r="B9" s="58" t="inlineStr">
        <is>
          <t>80</t>
        </is>
      </c>
      <c r="C9" s="58" t="inlineStr">
        <is>
          <t>102</t>
        </is>
      </c>
      <c r="D9" s="58" t="inlineStr">
        <is>
          <t>102</t>
        </is>
      </c>
      <c r="E9" s="57" t="inlineStr">
        <is>
          <t>Not shown</t>
        </is>
      </c>
      <c r="F9" s="32" t="inlineStr">
        <is>
          <t>Map shows total sectors only</t>
        </is>
      </c>
    </row>
    <row r="10" ht="15" customHeight="1" s="28">
      <c r="A10" s="32" t="inlineStr">
        <is>
          <t>Tarana P2P BH Sectors</t>
        </is>
      </c>
      <c r="B10" s="58" t="inlineStr">
        <is>
          <t>0</t>
        </is>
      </c>
      <c r="C10" s="58" t="inlineStr">
        <is>
          <t>13</t>
        </is>
      </c>
      <c r="D10" s="58" t="inlineStr">
        <is>
          <t>13</t>
        </is>
      </c>
      <c r="E10" s="57" t="inlineStr">
        <is>
          <t>Not shown</t>
        </is>
      </c>
      <c r="F10" s="32" t="inlineStr">
        <is>
          <t>Map shows total sectors only</t>
        </is>
      </c>
    </row>
    <row r="11" ht="15" customHeight="1" s="28">
      <c r="A11" s="32" t="inlineStr">
        <is>
          <t>BSLs Served by Tarana</t>
        </is>
      </c>
      <c r="B11" s="58" t="inlineStr">
        <is>
          <t>9,584</t>
        </is>
      </c>
      <c r="C11" s="42">
        <f>'Corrected Design'!B11</f>
        <v/>
      </c>
      <c r="D11" s="42">
        <f>'Optimized Design'!B13</f>
        <v/>
      </c>
      <c r="E11" s="57" t="inlineStr">
        <is>
          <t>6,210</t>
        </is>
      </c>
      <c r="F11" s="32" t="inlineStr">
        <is>
          <t>Verify split matches map layers</t>
        </is>
      </c>
    </row>
    <row r="12" ht="15" customHeight="1" s="28">
      <c r="A12" s="32" t="inlineStr">
        <is>
          <t>BSLs Served by Ketsen</t>
        </is>
      </c>
      <c r="B12" s="58" t="inlineStr">
        <is>
          <t>0</t>
        </is>
      </c>
      <c r="C12" s="42">
        <f>'Corrected Design'!B12</f>
        <v/>
      </c>
      <c r="D12" s="42">
        <f>'Optimized Design'!B14</f>
        <v/>
      </c>
      <c r="E12" s="57" t="inlineStr">
        <is>
          <t>5,136</t>
        </is>
      </c>
      <c r="F12" s="32" t="inlineStr">
        <is>
          <t>Verify split matches map layers</t>
        </is>
      </c>
    </row>
    <row r="13" ht="15" customHeight="1" s="28">
      <c r="A13" s="32" t="inlineStr">
        <is>
          <t>Infra CAPEX</t>
        </is>
      </c>
      <c r="B13" s="42">
        <f>'Current Design'!B18</f>
        <v/>
      </c>
      <c r="C13" s="42">
        <f>'Corrected Design'!B25</f>
        <v/>
      </c>
      <c r="D13" s="42">
        <f>'Optimized Design'!B28</f>
        <v/>
      </c>
      <c r="E13" s="57" t="inlineStr">
        <is>
          <t>Hardcoded in map</t>
        </is>
      </c>
      <c r="F13" s="32" t="inlineStr">
        <is>
          <t>Map must read from model</t>
        </is>
      </c>
    </row>
    <row r="14" ht="15" customHeight="1" s="28">
      <c r="A14" s="32" t="inlineStr">
        <is>
          <t>Colocation Sites</t>
        </is>
      </c>
      <c r="B14" s="58" t="inlineStr">
        <is>
          <t>0</t>
        </is>
      </c>
      <c r="C14" s="58" t="inlineStr">
        <is>
          <t>0</t>
        </is>
      </c>
      <c r="D14" s="42">
        <f>'Optimized Design'!B4</f>
        <v/>
      </c>
      <c r="E14" s="57" t="inlineStr">
        <is>
          <t>24</t>
        </is>
      </c>
      <c r="F14" s="32" t="inlineStr">
        <is>
          <t>Match</t>
        </is>
      </c>
    </row>
    <row r="15" ht="15" customHeight="1" s="28">
      <c r="A15" s="32" t="inlineStr">
        <is>
          <t>New Build Sites</t>
        </is>
      </c>
      <c r="B15" s="42">
        <f>'Current Design'!B4</f>
        <v/>
      </c>
      <c r="C15" s="42">
        <f>'Corrected Design'!B4</f>
        <v/>
      </c>
      <c r="D15" s="42">
        <f>'Optimized Design'!B5</f>
        <v/>
      </c>
      <c r="E15" s="57" t="inlineStr">
        <is>
          <t>77</t>
        </is>
      </c>
      <c r="F15" s="32" t="inlineStr">
        <is>
          <t>Optimized only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27" min="1" max="1"/>
    <col width="16" customWidth="1" style="27" min="2" max="7"/>
  </cols>
  <sheetData>
    <row r="1" ht="17.25" customHeight="1" s="28">
      <c r="A1" s="29" t="inlineStr">
        <is>
          <t>Scenario &amp; Sensitivity Analysis</t>
        </is>
      </c>
    </row>
    <row r="2" ht="15" customHeight="1" s="28">
      <c r="A2" s="34" t="inlineStr">
        <is>
          <t>Based on Optimized Design (24 Coloc + 77 New Build)</t>
        </is>
      </c>
    </row>
    <row r="4" ht="15" customHeight="1" s="28">
      <c r="A4" s="30" t="inlineStr">
        <is>
          <t>STEADY-STATE PENETRATION SENSITIVITY (Year 5)</t>
        </is>
      </c>
      <c r="B4" s="31" t="n"/>
      <c r="C4" s="31" t="n"/>
      <c r="D4" s="31" t="n"/>
      <c r="E4" s="31" t="n"/>
    </row>
    <row r="5" ht="15" customHeight="1" s="28">
      <c r="A5" s="44" t="inlineStr">
        <is>
          <t>Metric</t>
        </is>
      </c>
      <c r="B5" s="44" t="inlineStr">
        <is>
          <t>25%</t>
        </is>
      </c>
      <c r="C5" s="44" t="inlineStr">
        <is>
          <t>30%</t>
        </is>
      </c>
      <c r="D5" s="44" t="inlineStr">
        <is>
          <t>35%</t>
        </is>
      </c>
    </row>
    <row r="6" ht="15" customHeight="1" s="28">
      <c r="A6" s="32" t="inlineStr">
        <is>
          <t>Penetration Rate</t>
        </is>
      </c>
      <c r="B6" s="59" t="n">
        <v>0.25</v>
      </c>
      <c r="C6" s="59" t="n">
        <v>0.3</v>
      </c>
      <c r="D6" s="59" t="n">
        <v>0.35</v>
      </c>
    </row>
    <row r="7" ht="15" customHeight="1" s="28">
      <c r="A7" s="32" t="inlineStr">
        <is>
          <t>Total Subscribers</t>
        </is>
      </c>
      <c r="B7" s="35">
        <f>Assumptions!B4*B6</f>
        <v/>
      </c>
      <c r="C7" s="35">
        <f>Assumptions!B4*C6</f>
        <v/>
      </c>
      <c r="D7" s="35">
        <f>Assumptions!B4*D6</f>
        <v/>
      </c>
    </row>
    <row r="8" ht="15" customHeight="1" s="28">
      <c r="A8" s="32" t="inlineStr">
        <is>
          <t>Annual Revenue</t>
        </is>
      </c>
      <c r="B8" s="37">
        <f>B7*Assumptions!B49</f>
        <v/>
      </c>
      <c r="C8" s="37">
        <f>C7*Assumptions!B49</f>
        <v/>
      </c>
      <c r="D8" s="37">
        <f>D7*Assumptions!B49</f>
        <v/>
      </c>
    </row>
    <row r="9" ht="15" customHeight="1" s="28">
      <c r="A9" s="32" t="inlineStr">
        <is>
          <t>Annual OPEX (est from Opt Y5)</t>
        </is>
      </c>
      <c r="B9" s="43">
        <f>'Optimized Design'!F55</f>
        <v/>
      </c>
      <c r="C9" s="43">
        <f>'Optimized Design'!F55</f>
        <v/>
      </c>
      <c r="D9" s="43">
        <f>'Optimized Design'!F55</f>
        <v/>
      </c>
    </row>
    <row r="10" ht="15" customHeight="1" s="28">
      <c r="A10" s="40" t="inlineStr">
        <is>
          <t>Steady-State EBITDA</t>
        </is>
      </c>
      <c r="B10" s="46">
        <f>B6-B9</f>
        <v/>
      </c>
      <c r="C10" s="46">
        <f>C6-C9</f>
        <v/>
      </c>
      <c r="D10" s="46">
        <f>D6-D9</f>
        <v/>
      </c>
    </row>
    <row r="11" ht="15" customHeight="1" s="28">
      <c r="A11" s="32" t="inlineStr">
        <is>
          <t>Steady-State EBITDA Margin</t>
        </is>
      </c>
      <c r="B11" s="47">
        <f>IF(B6=0,0,B10/B6)</f>
        <v/>
      </c>
      <c r="C11" s="47">
        <f>IF(C6=0,0,C10/C6)</f>
        <v/>
      </c>
      <c r="D11" s="47">
        <f>IF(D6=0,0,D10/D6)</f>
        <v/>
      </c>
    </row>
    <row r="14" ht="15" customHeight="1" s="28">
      <c r="A14" s="30" t="inlineStr">
        <is>
          <t>SCENARIO ANALYSIS</t>
        </is>
      </c>
      <c r="B14" s="31" t="n"/>
      <c r="C14" s="31" t="n"/>
      <c r="D14" s="31" t="n"/>
    </row>
    <row r="15" ht="15" customHeight="1" s="28">
      <c r="A15" s="44" t="inlineStr">
        <is>
          <t>Assumption</t>
        </is>
      </c>
      <c r="B15" s="44" t="inlineStr">
        <is>
          <t>Downside</t>
        </is>
      </c>
      <c r="C15" s="44" t="inlineStr">
        <is>
          <t>Base</t>
        </is>
      </c>
      <c r="D15" s="44" t="inlineStr">
        <is>
          <t>Upside</t>
        </is>
      </c>
    </row>
    <row r="16" ht="15" customHeight="1" s="28">
      <c r="A16" s="32" t="inlineStr">
        <is>
          <t>Year 5 Tarana Take Rate</t>
        </is>
      </c>
      <c r="B16" s="38" t="n">
        <v>0.15</v>
      </c>
      <c r="C16" s="38" t="n">
        <v>0.2</v>
      </c>
      <c r="D16" s="38" t="n">
        <v>0.25</v>
      </c>
    </row>
    <row r="17" ht="15" customHeight="1" s="28">
      <c r="A17" s="32" t="inlineStr">
        <is>
          <t>Year 5 Ketsen Take Rate</t>
        </is>
      </c>
      <c r="B17" s="38" t="n">
        <v>0.12</v>
      </c>
      <c r="C17" s="38" t="n">
        <v>0.18</v>
      </c>
      <c r="D17" s="38" t="n">
        <v>0.22</v>
      </c>
    </row>
    <row r="18" ht="15" customHeight="1" s="28">
      <c r="A18" s="32" t="inlineStr">
        <is>
          <t>Monthly ARPU</t>
        </is>
      </c>
      <c r="B18" s="41" t="n">
        <v>65</v>
      </c>
      <c r="C18" s="41" t="n">
        <v>70</v>
      </c>
      <c r="D18" s="41" t="n">
        <v>75</v>
      </c>
    </row>
    <row r="19" ht="15" customHeight="1" s="28">
      <c r="A19" s="32" t="inlineStr">
        <is>
          <t>New Tower Build Cost</t>
        </is>
      </c>
      <c r="B19" s="41" t="n">
        <v>60000</v>
      </c>
      <c r="C19" s="41" t="n">
        <v>50000</v>
      </c>
      <c r="D19" s="41" t="n">
        <v>45000</v>
      </c>
    </row>
    <row r="20" ht="15" customHeight="1" s="28">
      <c r="A20" s="32" t="inlineStr">
        <is>
          <t>Construction Overrun (%)</t>
        </is>
      </c>
      <c r="B20" s="38" t="n">
        <v>0.2</v>
      </c>
      <c r="C20" s="38" t="n">
        <v>0.1</v>
      </c>
      <c r="D20" s="38" t="n">
        <v>0.05</v>
      </c>
    </row>
    <row r="21" ht="15" customHeight="1" s="28">
      <c r="A21" s="32" t="inlineStr">
        <is>
          <t>BEAD Draw Delay (months)</t>
        </is>
      </c>
      <c r="B21" s="39" t="n">
        <v>6</v>
      </c>
      <c r="C21" s="39" t="n">
        <v>0</v>
      </c>
      <c r="D21" s="39" t="n">
        <v>0</v>
      </c>
    </row>
    <row r="22" ht="15" customHeight="1" s="28">
      <c r="A22" s="32" t="inlineStr">
        <is>
          <t>Annual OPEX Escalator</t>
        </is>
      </c>
      <c r="B22" s="38" t="n">
        <v>0.04</v>
      </c>
      <c r="C22" s="38" t="n">
        <v>0.03</v>
      </c>
      <c r="D22" s="38" t="n">
        <v>0.02</v>
      </c>
    </row>
    <row r="24" ht="15" customHeight="1" s="28">
      <c r="A24" s="34" t="inlineStr">
        <is>
          <t>NOTE: Scenario impacts are directional. Full scenario P&amp;L</t>
        </is>
      </c>
    </row>
    <row r="25" ht="15" customHeight="1" s="28">
      <c r="A25" s="34" t="inlineStr">
        <is>
          <t>requires separate scenario tabs or a scenario toggle in Assumptions.</t>
        </is>
      </c>
    </row>
    <row r="26" ht="15" customHeight="1" s="28">
      <c r="A26" s="34" t="inlineStr">
        <is>
          <t>The sensitivity table above shows steady-state economics.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D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27" min="1" max="1"/>
    <col width="40" customWidth="1" style="27" min="2" max="2"/>
    <col width="50" customWidth="1" style="27" min="3" max="4"/>
  </cols>
  <sheetData>
    <row r="1" ht="17.25" customHeight="1" s="28">
      <c r="A1" s="29" t="inlineStr">
        <is>
          <t>Audit Issues Found</t>
        </is>
      </c>
    </row>
    <row r="3" ht="15" customHeight="1" s="28">
      <c r="A3" s="60" t="inlineStr">
        <is>
          <t>#</t>
        </is>
      </c>
      <c r="B3" s="60" t="inlineStr">
        <is>
          <t>Issue</t>
        </is>
      </c>
      <c r="C3" s="60" t="inlineStr">
        <is>
          <t>Why It Matters</t>
        </is>
      </c>
      <c r="D3" s="60" t="inlineStr">
        <is>
          <t>Fix Applied</t>
        </is>
      </c>
    </row>
    <row r="4" ht="45" customHeight="1" s="28">
      <c r="A4" s="32" t="n">
        <v>1</v>
      </c>
      <c r="B4" s="61" t="inlineStr">
        <is>
          <t>Comparison sheet references broken</t>
        </is>
      </c>
      <c r="C4" s="61" t="inlineStr">
        <is>
          <t>Row insertions for Ketsen data shifted cell refs. Corrected BSLs showed 13 instead of 11,346. Optimized CAPEX showed $600K (coloc only). All downstream Comparison values wrong.</t>
        </is>
      </c>
      <c r="D4" s="61" t="inlineStr">
        <is>
          <t>Rebuilt Comparison with correct cross-sheet refs to new row layout.</t>
        </is>
      </c>
    </row>
    <row r="5" ht="45" customHeight="1" s="28">
      <c r="A5" s="32" t="n">
        <v>2</v>
      </c>
      <c r="B5" s="61" t="inlineStr">
        <is>
          <t>Sector equipment CAPEX never used</t>
        </is>
      </c>
      <c r="C5" s="61" t="inlineStr">
        <is>
          <t>Assumptions had $50K/sector for Tarana G2 BN but no scenario formula used it. Infrastructure CAPEX was either hardcoded or only counted tower build costs. Understated CAPEX by $2-3M.</t>
        </is>
      </c>
      <c r="D5" s="61" t="inlineStr">
        <is>
          <t>Replaced with architecture-driven CAPEX: G2 BN at $21K/sector + $11,634/P2P BH sector + per-site accessories, all formula-linked.</t>
        </is>
      </c>
    </row>
    <row r="6" ht="45" customHeight="1" s="28">
      <c r="A6" s="32" t="n">
        <v>3</v>
      </c>
      <c r="B6" s="61" t="inlineStr">
        <is>
          <t>Corrected Design Infra CAPEX hardcoded</t>
        </is>
      </c>
      <c r="C6" s="61" t="inlineStr">
        <is>
          <t>$5,076,000 hardcoded with no formula decomposition. Cannot audit, cannot sensitivity-test, cannot tie to architecture.</t>
        </is>
      </c>
      <c r="D6" s="61" t="inlineStr">
        <is>
          <t>Replaced with formula: sectors*BN + P2P*BH + sites*accessories + gateways + tower build + make-ready + contingency.</t>
        </is>
      </c>
    </row>
    <row r="7" ht="45" customHeight="1" s="28">
      <c r="A7" s="32" t="n">
        <v>4</v>
      </c>
      <c r="B7" s="61" t="inlineStr">
        <is>
          <t>Current Design Infra CAPEX hardcoded</t>
        </is>
      </c>
      <c r="C7" s="61" t="inlineStr">
        <is>
          <t>$3,260,000 with no formula basis. Board/lender cannot verify.</t>
        </is>
      </c>
      <c r="D7" s="61" t="inlineStr">
        <is>
          <t>Replaced with formula-driven CAPEX built from sector count, per-site accessories, make-ready.</t>
        </is>
      </c>
    </row>
    <row r="8" ht="45" customHeight="1" s="28">
      <c r="A8" s="32" t="n">
        <v>5</v>
      </c>
      <c r="B8" s="61" t="inlineStr">
        <is>
          <t>OPEX was 10% of revenue</t>
        </is>
      </c>
      <c r="C8" s="61" t="inlineStr">
        <is>
          <t>Completely unrealistic. At 5% take rate in Y1, total OPEX would be ~$40K while tower leases alone are $720K+. Understated early-year OPEX by 10-20x, overstated EBITDA.</t>
        </is>
      </c>
      <c r="D8" s="61" t="inlineStr">
        <is>
          <t>Replaced with 10-line itemized OPEX: leases, power, NOC, transport, field maintenance, customer support, SMS, SAS, insurance, spares. Each linked to Assumptions.</t>
        </is>
      </c>
    </row>
    <row r="9" ht="45" customHeight="1" s="28">
      <c r="A9" s="32" t="n">
        <v>6</v>
      </c>
      <c r="B9" s="61" t="inlineStr">
        <is>
          <t>Tower leases wrong for Corrected Design</t>
        </is>
      </c>
      <c r="C9" s="61" t="inlineStr">
        <is>
          <t>All 101 sites used New Tower Lease ($24K/yr). Should differentiate coloc vs new build. Overstated Corrected lease expense.</t>
        </is>
      </c>
      <c r="D9" s="61" t="inlineStr">
        <is>
          <t>Corrected: all new build at $6K ground lease. Optimized: split 24 coloc at $18K + 77 new at $6K.</t>
        </is>
      </c>
    </row>
    <row r="10" ht="45" customHeight="1" s="28">
      <c r="A10" s="32" t="n">
        <v>7</v>
      </c>
      <c r="B10" s="61" t="inlineStr">
        <is>
          <t>No BEAD draw timing or retainage</t>
        </is>
      </c>
      <c r="C10" s="61" t="inlineStr">
        <is>
          <t>Model assumed full P4 in Y1, full P5 in Y2. Real BEAD has milestone-based draws and 10% retainage until closeout. Overstated early cash position.</t>
        </is>
      </c>
      <c r="D10" s="61" t="inlineStr">
        <is>
          <t>Added retainage assumption (10%), draw timing schedule (40/30/20/10%), retainage release in Y4.</t>
        </is>
      </c>
    </row>
    <row r="11" ht="45" customHeight="1" s="28">
      <c r="A11" s="32" t="n">
        <v>8</v>
      </c>
      <c r="B11" s="61" t="inlineStr">
        <is>
          <t>No contingency in CAPEX</t>
        </is>
      </c>
      <c r="C11" s="61" t="inlineStr">
        <is>
          <t>Zero contingency on a 101-site new build across Maricopa County. No buffer for permitting, weather, supply chain. Not defensible for board or state review.</t>
        </is>
      </c>
      <c r="D11" s="61" t="inlineStr">
        <is>
          <t>Added 10% contingency on pre-contingency infrastructure CAPEX.</t>
        </is>
      </c>
    </row>
    <row r="12" ht="45" customHeight="1" s="28">
      <c r="A12" s="32" t="n">
        <v>9</v>
      </c>
      <c r="B12" s="61" t="inlineStr">
        <is>
          <t>CPE cost not split by technology</t>
        </is>
      </c>
      <c r="C12" s="61" t="inlineStr">
        <is>
          <t>Uniform $705/sub CPE for all BSLs. Ketsen mesh CPE is likely cheaper than Tarana G2 RN.</t>
        </is>
      </c>
      <c r="D12" s="61" t="inlineStr">
        <is>
          <t>Split CPE: Tarana at $705 (RNv $455 + BW $100 + Install $150), Ketsen at $350 ($250 + $100).</t>
        </is>
      </c>
    </row>
    <row r="13" ht="45" customHeight="1" s="28">
      <c r="A13" s="32" t="n">
        <v>10</v>
      </c>
      <c r="B13" s="61" t="inlineStr">
        <is>
          <t>No technology-segmented take rates</t>
        </is>
      </c>
      <c r="C13" s="61" t="inlineStr">
        <is>
          <t>One take rate for all BSLs regardless of architecture. Dense Ketsen areas may have different adoption curves.</t>
        </is>
      </c>
      <c r="D13" s="61" t="inlineStr">
        <is>
          <t>Added separate Tarana and Ketsen take rate columns in Assumptions. Ketsen rates slightly lower to reflect density/competition dynamics.</t>
        </is>
      </c>
    </row>
    <row r="14" ht="45" customHeight="1" s="28">
      <c r="A14" s="32" t="n">
        <v>11</v>
      </c>
      <c r="B14" s="61" t="inlineStr">
        <is>
          <t>Map economics fully hardcoded</t>
        </is>
      </c>
      <c r="C14" s="61" t="inlineStr">
        <is>
          <t>All KPI badges, economics panels, and CAPEX bar charts are hardcoded HTML strings. Any model change requires manual map edit.</t>
        </is>
      </c>
      <c r="D14" s="61" t="inlineStr">
        <is>
          <t>Documented. Map should be updated to read from a JSON export or the model directly.</t>
        </is>
      </c>
    </row>
    <row r="15" ht="45" customHeight="1" s="28">
      <c r="A15" s="32" t="n">
        <v>12</v>
      </c>
      <c r="B15" s="61" t="inlineStr">
        <is>
          <t>Sector equipment assumption mislabeled</t>
        </is>
      </c>
      <c r="C15" s="61" t="inlineStr">
        <is>
          <t>Assumptions showed "Sector Equipment (Tarana G2 BN + BH)" at $50K. Actual G2 BN is $21K. $50K was never used anyway.</t>
        </is>
      </c>
      <c r="D15" s="61" t="inlineStr">
        <is>
          <t>Replaced with actual Tarana pricing: G2 BN $21K/sector, P2P BH $11,634/sector, per-site accessories $1,446.</t>
        </is>
      </c>
    </row>
    <row r="16" ht="45" customHeight="1" s="28">
      <c r="A16" s="32" t="n">
        <v>13</v>
      </c>
      <c r="B16" s="61" t="inlineStr">
        <is>
          <t>No OPEX escalator</t>
        </is>
      </c>
      <c r="C16" s="61" t="inlineStr">
        <is>
          <t>Fixed costs assumed flat for 5 years. Tower leases, power, labor all inflate.</t>
        </is>
      </c>
      <c r="D16" s="61" t="inlineStr">
        <is>
          <t>Added 3% annual escalator on fixed OPEX items.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2026-04-04T20:03:35Z</dcterms:created>
  <dcterms:modified xmlns:dcterms="http://purl.org/dc/terms/" xmlns:xsi="http://www.w3.org/2001/XMLSchema-instance" xsi:type="dcterms:W3CDTF">2026-04-05T15:37:06Z</dcterms:modified>
  <cp:revision>0</cp:revision>
</cp:coreProperties>
</file>